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ables/table14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  <Override PartName="/xl/connections.xml" ContentType="application/vnd.openxmlformats-officedocument.spreadsheetml.connection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S Dashboard" sheetId="1" state="visible" r:id="rId1"/>
    <sheet name="Hardware Dashboard" sheetId="2" state="visible" r:id="rId2"/>
    <sheet name="Client Health" sheetId="3" state="visible" r:id="rId3"/>
    <sheet name="Update Compliance" sheetId="4" state="visible" r:id="rId4"/>
    <sheet name="Security Dashboard" sheetId="5" state="visible" r:id="rId5"/>
    <sheet name="Applications" sheetId="6" state="visible" r:id="rId6"/>
    <sheet name="Server Dashboard" sheetId="7" state="visible" r:id="rId7"/>
    <sheet name="SQL Queries" sheetId="8" state="visible" r:id="rId8"/>
    <sheet name="Connection Setup" sheetId="9" state="visible" r:id="rId9"/>
  </sheets>
  <definedNames/>
  <calcPr calcId="124519" fullCalcOnLoad="1"/>
</workbook>
</file>

<file path=xl/connections.xml><?xml version="1.0" encoding="utf-8"?>
<connections xmlns="http://schemas.openxmlformats.org/spreadsheetml/2006/main">
  <connection id="1" name="MECM - OS Count Summary" type="1" refreshedVersion="0" background="1" saveData="1">
    <dbPr connection="Provider=SQLOLEDB.1;Data Source=MECMServer;Initial Catalog=CM_PS1;Integrated Security=SSPI;" command="SELECT&#10;    os.Caption0 AS [Operating System],&#10;    COUNT(*) AS [Device Count]&#10;FROM v_R_System_Valid sys&#10;INNER JOIN v_GS_OPERATING_SYSTEM os&#10;    ON sys.ResourceID = os.ResourceID&#10;WHERE os.Caption0 LIKE '%Windows%'&#10;GROUP BY os.Caption0&#10;ORDER BY [Device Count] DESC" commandType="2"/>
  </connection>
  <connection id="2" name="MECM - OS Feature Update Counts" type="1" refreshedVersion="0" background="1" saveData="1">
    <dbPr connection="Provider=SQLOLEDB.1;Data Source=MECMServer;Initial Catalog=CM_PS1;Integrated Security=SSPI;" command="SELECT&#10;    os.Caption0 AS [Operating System],&#10;    CASE os.BuildNumber0&#10;        -- Windows 10 builds&#10;        WHEN '19041' THEN '2004'&#10;        WHEN '19042' THEN '20H2'&#10;        WHEN '19043' THEN '21H1'&#10;        WHEN '19044' THEN '21H2'&#10;        WHEN '19045' THEN '22H2'&#10;        -- Windows 11 builds&#10;        WHEN '22000' THEN '21H2'&#10;        WHEN '22621' THEN '22H2'&#10;        WHEN '22631' THEN '23H2'&#10;        WHEN '26100' THEN '24H2'&#10;        ELSE os.BuildNumber0&#10;    END AS [Feature Update],&#10;    os.BuildNumber0 AS [Build Number],&#10;    COUNT(*) AS [Device Count]&#10;FROM v_R_System_Valid sys&#10;INNER JOIN v_GS_OPERATING_SYSTEM os&#10;    ON sys.ResourceID = os.ResourceID&#10;WHERE os.Caption0 LIKE '%Windows%'&#10;GROUP BY&#10;    os.Caption0,&#10;    os.BuildNumber0&#10;ORDER BY&#10;    os.Caption0,&#10;    os.BuildNumber0 DESC" commandType="2"/>
  </connection>
  <connection id="3" name="MECM - Memory Summary" type="1" refreshedVersion="0" background="1" saveData="1">
    <dbPr connection="Provider=SQLOLEDB.1;Data Source=MECMServer;Initial Catalog=CM_PS1;Integrated Security=SSPI;" command="SELECT&#10;    CAST(ROUND(mem.TotalPhysicalMemory0 / 1024.0 / 1024.0, 0) AS INT) AS [RAM (GB)],&#10;    COUNT(*) AS [Device Count]&#10;FROM v_R_System_Valid sys&#10;INNER JOIN v_GS_X86_PC_MEMORY mem&#10;    ON sys.ResourceID = mem.ResourceID&#10;GROUP BY CAST(ROUND(mem.TotalPhysicalMemory0 / 1024.0 / 1024.0, 0) AS INT)&#10;ORDER BY [RAM (GB)] DESC" commandType="2"/>
  </connection>
  <connection id="4" name="MECM - Device Models" type="1" refreshedVersion="0" background="1" saveData="1">
    <dbPr connection="Provider=SQLOLEDB.1;Data Source=MECMServer;Initial Catalog=CM_PS1;Integrated Security=SSPI;" command="SELECT&#10;    COALESCE(cs.Manufacturer0, 'Unknown') AS [Manufacturer],&#10;    COALESCE(cs.Model0, 'Unknown') AS [Model],&#10;    CASE&#10;        WHEN enc.ChassisTypes0 = 1 THEN 'Other'&#10;        WHEN enc.ChassisTypes0 = 2 THEN 'Unknown'&#10;        WHEN enc.ChassisTypes0 = 3 THEN 'Desktop'&#10;        WHEN enc.ChassisTypes0 = 4 THEN 'Low Profile Desktop'&#10;        WHEN enc.ChassisTypes0 = 5 THEN 'Pizza Box'&#10;        WHEN enc.ChassisTypes0 = 6 THEN 'Mini Tower'&#10;        WHEN enc.ChassisTypes0 = 7 THEN 'Tower'&#10;        WHEN enc.ChassisTypes0 = 8 THEN 'Portable'&#10;        WHEN enc.ChassisTypes0 = 9 THEN 'Laptop'&#10;        WHEN enc.ChassisTypes0 = 10 THEN 'Notebook'&#10;        WHEN enc.ChassisTypes0 = 11 THEN 'Hand Held'&#10;        WHEN enc.ChassisTypes0 = 12 THEN 'Docking Station'&#10;        WHEN enc.ChassisTypes0 = 13 THEN 'All in One'&#10;        WHEN enc.ChassisTypes0 = 14 THEN 'Sub Notebook'&#10;        WHEN enc.ChassisTypes0 = 15 THEN 'Space-Saving'&#10;        WHEN enc.ChassisTypes0 = 16 THEN 'Lunch Box'&#10;        WHEN enc.ChassisTypes0 = 17 THEN 'Main System Chassis'&#10;        WHEN enc.ChassisTypes0 = 18 THEN 'Expansion Chassis'&#10;        WHEN enc.ChassisTypes0 = 19 THEN 'Sub Chassis'&#10;        WHEN enc.ChassisTypes0 = 20 THEN 'Bus Expansion Chassis'&#10;        WHEN enc.ChassisTypes0 = 21 THEN 'Peripheral Chassis'&#10;        WHEN enc.ChassisTypes0 = 22 THEN 'Storage Chassis'&#10;        WHEN enc.ChassisTypes0 = 23 THEN 'Rack Mount Chassis'&#10;        WHEN enc.ChassisTypes0 = 24 THEN 'Sealed-Case PC'&#10;        ELSE 'Unknown'&#10;    END AS [Chassis Type],&#10;    COUNT(*) AS [Device Count]&#10;FROM v_R_System_Valid sys&#10;INNER JOIN v_GS_COMPUTER_SYSTEM cs&#10;    ON sys.ResourceID = cs.ResourceID&#10;LEFT JOIN v_GS_SYSTEM_ENCLOSURE enc&#10;    ON sys.ResourceID = enc.ResourceID&#10;GROUP BY&#10;    cs.Manufacturer0,&#10;    cs.Model0,&#10;    enc.ChassisTypes0&#10;ORDER BY&#10;    [Device Count] DESC,&#10;    [Manufacturer],&#10;    [Model]" commandType="2"/>
  </connection>
  <connection id="5" name="MECM - Client Version" type="1" refreshedVersion="0" background="1" saveData="1">
    <dbPr connection="Provider=SQLOLEDB.1;Data Source=MECMServer;Initial Catalog=CM_PS1;Integrated Security=SSPI;" command="SELECT&#10;    COALESCE(sys.Client_Version0, 'No Client') AS [Client Version],&#10;    COUNT(*) AS [Device Count]&#10;FROM v_R_System_Valid sys&#10;GROUP BY sys.Client_Version0&#10;ORDER BY [Device Count] DESC" commandType="2"/>
  </connection>
  <connection id="6" name="MECM - Update Compliance Summary" type="1" refreshedVersion="0" background="1" saveData="1">
    <dbPr connection="Provider=SQLOLEDB.1;Data Source=MECMServer;Initial Catalog=CM_PS1;Integrated Security=SSPI;" command="SELECT&#10;    ui.UpdateClassification AS [Classification],&#10;    COUNT(DISTINCT ucs.ResourceID) AS [Total Devices],&#10;    SUM(CASE WHEN ucs.Status = 2 THEN 1 ELSE 0 END) AS [Required],&#10;    SUM(CASE WHEN ucs.Status = 3 THEN 1 ELSE 0 END) AS [Installed],&#10;    CAST(ROUND(&#10;        SUM(CASE WHEN ucs.Status = 3 THEN 1 ELSE 0 END) * 100.0 /&#10;        NULLIF(COUNT(*), 0), 1&#10;    ) AS DECIMAL(5,1)) AS [Compliance %]&#10;FROM v_R_System_Valid sys&#10;INNER JOIN v_UpdateComplianceStatus ucs&#10;    ON sys.ResourceID = ucs.ResourceID&#10;INNER JOIN v_UpdateInfo ui&#10;    ON ucs.CI_ID = ui.CI_ID&#10;WHERE ui.IsDeployed = 1&#10;GROUP BY ui.UpdateClassification&#10;ORDER BY [Classification]" commandType="2"/>
  </connection>
  <connection id="7" name="MECM - Update Deployment Status" type="1" refreshedVersion="0" background="1" saveData="1">
    <dbPr connection="Provider=SQLOLEDB.1;Data Source=MECMServer;Initial Catalog=CM_PS1;Integrated Security=SSPI;" command="SELECT&#10;    ali.Title AS [Update Group],&#10;    COUNT(DISTINCT atm.ResourceID) AS [Targeted Devices],&#10;    SUM(CASE WHEN ucs.Status = 3 THEN 1 ELSE 0 END) AS [Compliant],&#10;    SUM(CASE WHEN ucs.Status = 2 THEN 1 ELSE 0 END) AS [Required],&#10;    SUM(CASE WHEN ucs.Status = 1 THEN 1 ELSE 0 END) AS [Not Required],&#10;    CAST(ROUND(&#10;        SUM(CASE WHEN ucs.Status = 3 THEN 1 ELSE 0 END) * 100.0 /&#10;        NULLIF(COUNT(DISTINCT atm.ResourceID), 0), 1&#10;    ) AS DECIMAL(5,1)) AS [Compliance %]&#10;FROM v_CIAssignment cia&#10;INNER JOIN v_AuthListInfo ali&#10;    ON cia.AssignedCI_UniqueID = ali.CI_UniqueID&#10;INNER JOIN v_AssignmentTargetedMachines atm&#10;    ON cia.AssignmentID = atm.AssignmentID&#10;LEFT JOIN v_UpdateComplianceStatus ucs&#10;    ON atm.ResourceID = ucs.ResourceID&#10;WHERE cia.AssignmentType = 5  -- Software Update Group&#10;GROUP BY ali.Title&#10;ORDER BY ali.Title" commandType="2"/>
  </connection>
  <connection id="8" name="MECM - Deployment Summary" type="1" refreshedVersion="0" background="1" saveData="1">
    <dbPr connection="Provider=SQLOLEDB.1;Data Source=MECMServer;Initial Catalog=CM_PS1;Integrated Security=SSPI;" command="SELECT&#10;    COUNT(DISTINCT app.CI_ID) AS [Total Applications],&#10;    COUNT(DISTINCT cia.AssignmentID) AS [Total Deployments],&#10;    SUM(ds.NumberTotal) AS [Total Targeted Devices],&#10;    SUM(ds.NumberSuccess) AS [Total Successful],&#10;    SUM(ds.NumberErrors) AS [Total Failed],&#10;    SUM(ds.NumberInProgress) AS [Total In Progress],&#10;    CAST(ROUND(&#10;        SUM(ds.NumberSuccess) * 100.0 / NULLIF(SUM(ds.NumberTotal), 0), 1&#10;    ) AS DECIMAL(5,1)) AS [Overall Success Rate %]&#10;FROM fn_ListApplicationCIs(1033) app&#10;INNER JOIN v_CIAssignment cia&#10;    ON app.CI_ID = cia.CI_ID&#10;INNER JOIN v_DeploymentSummary ds&#10;    ON cia.AssignmentID = ds.AssignmentID&#10;WHERE cia.AssignmentType = 2  -- Application deployment" commandType="2"/>
  </connection>
  <connection id="9" name="MECM - Application Deployment Status" type="1" refreshedVersion="0" background="1" saveData="1">
    <dbPr connection="Provider=SQLOLEDB.1;Data Source=MECMServer;Initial Catalog=CM_PS1;Integrated Security=SSPI;" command="SELECT&#10;    app.DisplayName AS [Application Name],&#10;    COALESCE(app.Manufacturer, 'Unknown') AS [Manufacturer],&#10;    ds.CollectionName AS [Target Collection],&#10;    ds.NumberTotal AS [Total Targeted],&#10;    ds.NumberSuccess AS [Success],&#10;    ds.NumberInProgress AS [In Progress],&#10;    ds.NumberErrors AS [Errors],&#10;    ds.NumberUnknown AS [Unknown],&#10;    CAST(ROUND(&#10;        ds.NumberSuccess * 100.0 / NULLIF(ds.NumberTotal, 0), 1&#10;    ) AS DECIMAL(5,1)) AS [Success Rate %]&#10;FROM fn_ListApplicationCIs(1033) app&#10;INNER JOIN v_CIAssignment cia&#10;    ON app.CI_ID = cia.CI_ID&#10;INNER JOIN v_DeploymentSummary ds&#10;    ON cia.AssignmentID = ds.AssignmentID&#10;WHERE cia.AssignmentType = 2  -- Application deployment&#10;ORDER BY&#10;    app.DisplayName,&#10;    ds.CollectionName" commandType="2"/>
  </connection>
  <connection id="10" name="MECM - Server OS Versions" type="1" refreshedVersion="0" background="1" saveData="1">
    <dbPr connection="Provider=SQLOLEDB.1;Data Source=MECMServer;Initial Catalog=CM_PS1;Integrated Security=SSPI;" command="SELECT&#10;    os.Caption0 AS [Operating System],&#10;    CASE&#10;        WHEN os.Caption0 LIKE '%2022%' THEN 'Server 2022'&#10;        WHEN os.Caption0 LIKE '%2019%' THEN 'Server 2019'&#10;        WHEN os.Caption0 LIKE '%2016%' THEN 'Server 2016'&#10;        WHEN os.Caption0 LIKE '%2012 R2%' THEN 'Server 2012 R2'&#10;        WHEN os.Caption0 LIKE '%2012%' THEN 'Server 2012'&#10;        WHEN os.Caption0 LIKE '%2008 R2%' THEN 'Server 2008 R2'&#10;        WHEN os.Caption0 LIKE '%2008%' THEN 'Server 2008'&#10;        ELSE 'Other'&#10;    END AS [Server Version],&#10;    os.BuildNumber0 AS [Build Number],&#10;    COUNT(*) AS [Server Count]&#10;FROM v_R_System_Valid sys&#10;INNER JOIN v_GS_OPERATING_SYSTEM os&#10;    ON sys.ResourceID = os.ResourceID&#10;WHERE os.Caption0 LIKE '%Server%'&#10;GROUP BY&#10;    os.Caption0,&#10;    os.BuildNumber0&#10;ORDER BY&#10;    [Server Count] DESC,&#10;    os.Caption0" commandType="2"/>
  </connection>
  <connection id="11" name="MECM - BitLocker Protection Summary" type="1" refreshedVersion="0" background="1" saveData="1">
    <dbPr connection="Provider=SQLOLEDB.1;Data Source=MECMServer;Initial Catalog=CM_PS1;Integrated Security=SSPI;" command="SELECT&#10;    CASE bd.ProtectionStatus0&#10;        WHEN 0 THEN 'Protection Off'&#10;        WHEN 1 THEN 'Protection On'&#10;        ELSE 'Unknown'&#10;    END AS [Protection Status],&#10;    COUNT(DISTINCT sys.ResourceID) AS [Device Count]&#10;FROM v_R_System_Valid sys&#10;LEFT JOIN v_GS_BITLOCKER_DETAILS bd&#10;    ON sys.ResourceID = bd.ResourceID&#10;    AND bd.DriveLetter0 = 'C:'&#10;GROUP BY bd.ProtectionStatus0&#10;ORDER BY [Device Count] DESC" commandType="2"/>
  </connection>
  <connection id="12" name="MECM - Secure Boot Summary" type="1" refreshedVersion="0" background="1" saveData="1">
    <dbPr connection="Provider=SQLOLEDB.1;Data Source=MECMServer;Initial Catalog=CM_PS1;Integrated Security=SSPI;" command="SELECT&#10;    CASE fw.SecureBoot0&#10;        WHEN 1 THEN 'Enabled'&#10;        WHEN 0 THEN 'Disabled'&#10;        ELSE 'Unknown'&#10;    END AS [Secure Boot Status],&#10;    COUNT(*) AS [Device Count]&#10;FROM v_R_System_Valid sys&#10;LEFT JOIN v_GS_FIRMWARE fw&#10;    ON sys.ResourceID = fw.ResourceID&#10;GROUP BY fw.SecureBoot0&#10;ORDER BY [Device Count] DESC" commandType="2"/>
  </connection>
  <connection id="13" name="MECM - Defender Real-Time Protection Summary" type="1" refreshedVersion="0" background="1" saveData="1">
    <dbPr connection="Provider=SQLOLEDB.1;Data Source=MECMServer;Initial Catalog=CM_PS1;Integrated Security=SSPI;" command="SELECT&#10;    CASE wds.RealTimeProtectionEnabled0&#10;        WHEN 1 THEN 'Enabled'&#10;        WHEN 0 THEN 'Disabled'&#10;        ELSE 'Unknown'&#10;    END AS [Real-Time Protection],&#10;    COUNT(*) AS [Device Count]&#10;FROM v_R_System_Valid sys&#10;LEFT JOIN v_GS_WINDOWS_DEFENDER_STATUS wds&#10;    ON sys.ResourceID = wds.ResourceID&#10;GROUP BY wds.RealTimeProtectionEnabled0&#10;ORDER BY [Device Count] DESC" commandType="2"/>
  </connection>
  <connection id="14" name="MECM - TPM Status Summary" type="1" refreshedVersion="0" background="1" saveData="1">
    <dbPr connection="Provider=SQLOLEDB.1;Data Source=MECMServer;Initial Catalog=CM_PS1;Integrated Security=SSPI;" command="SELECT&#10;    CASE tpm.IsActivated_InitialValue0&#10;        WHEN 1 THEN 'Activated'&#10;        WHEN 0 THEN 'Not Activated'&#10;        ELSE 'Unknown'&#10;    END AS [TPM Status],&#10;    COUNT(*) AS [Device Count]&#10;FROM v_R_System_Valid sys&#10;LEFT JOIN v_GS_TPM tpm&#10;    ON sys.ResourceID = tpm.ResourceID&#10;GROUP BY tpm.IsActivated_InitialValue0&#10;ORDER BY [Device Count] DESC" commandType="2"/>
  </connection>
</connections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1F3864"/>
      <sz val="18"/>
    </font>
    <font>
      <name val="Segoe UI"/>
      <b val="1"/>
      <color rgb="002F5496"/>
      <sz val="12"/>
    </font>
    <font>
      <name val="Segoe UI"/>
      <b val="1"/>
      <color rgb="00FFFFFF"/>
      <sz val="10"/>
    </font>
    <font>
      <name val="Segoe UI"/>
      <color rgb="001F1F1F"/>
      <sz val="10"/>
    </font>
    <font>
      <name val="Consolas"/>
      <color rgb="001F1F1F"/>
      <sz val="9"/>
    </font>
    <font>
      <name val="Segoe UI"/>
      <b val="1"/>
      <color rgb="001F1F1F"/>
      <sz val="10"/>
    </font>
    <font>
      <name val="Consolas"/>
      <color rgb="002F5496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top style="thin">
        <color rgb="001F3864"/>
      </top>
      <bottom style="thin">
        <color rgb="001F386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Relationship Id="rId12" Type="http://schemas.openxmlformats.org/officeDocument/2006/relationships/connections" Target="connections.xml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OS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'OS Dashboard'!B5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472C4"/>
              </a:solidFill>
              <a:ln>
                <a:prstDash val="solid"/>
              </a:ln>
            </spPr>
          </dPt>
          <dPt>
            <idx val="1"/>
            <spPr>
              <a:solidFill>
                <a:srgbClr val="ED7D31"/>
              </a:solidFill>
              <a:ln>
                <a:prstDash val="solid"/>
              </a:ln>
            </spPr>
          </dPt>
          <dPt>
            <idx val="2"/>
            <spPr>
              <a:solidFill>
                <a:srgbClr val="A5A5A5"/>
              </a:solidFill>
              <a:ln>
                <a:prstDash val="solid"/>
              </a:ln>
            </spPr>
          </dPt>
          <dPt>
            <idx val="3"/>
            <spPr>
              <a:solidFill>
                <a:srgbClr val="FFC000"/>
              </a:solidFill>
              <a:ln>
                <a:prstDash val="solid"/>
              </a:ln>
            </spPr>
          </dPt>
          <dPt>
            <idx val="4"/>
            <spPr>
              <a:solidFill>
                <a:srgbClr val="5B9BD5"/>
              </a:solidFill>
              <a:ln>
                <a:prstDash val="solid"/>
              </a:ln>
            </spPr>
          </dPt>
          <dPt>
            <idx val="5"/>
            <spPr>
              <a:solidFill>
                <a:srgbClr val="70AD47"/>
              </a:solidFill>
              <a:ln>
                <a:prstDash val="solid"/>
              </a:ln>
            </spPr>
          </dPt>
          <dPt>
            <idx val="6"/>
            <spPr>
              <a:solidFill>
                <a:srgbClr val="264478"/>
              </a:solidFill>
              <a:ln>
                <a:prstDash val="solid"/>
              </a:ln>
            </spPr>
          </dPt>
          <dPt>
            <idx val="7"/>
            <spPr>
              <a:solidFill>
                <a:srgbClr val="9B57A1"/>
              </a:solidFill>
              <a:ln>
                <a:prstDash val="solid"/>
              </a:ln>
            </spPr>
          </dPt>
          <dPt>
            <idx val="8"/>
            <spPr>
              <a:solidFill>
                <a:srgbClr val="636363"/>
              </a:solidFill>
              <a:ln>
                <a:prstDash val="solid"/>
              </a:ln>
            </spPr>
          </dPt>
          <dPt>
            <idx val="9"/>
            <spPr>
              <a:solidFill>
                <a:srgbClr val="FF6B6B"/>
              </a:solidFill>
              <a:ln>
                <a:prstDash val="solid"/>
              </a:ln>
            </spPr>
          </dPt>
          <dPt>
            <idx val="10"/>
            <spPr>
              <a:solidFill>
                <a:srgbClr val="44546A"/>
              </a:solidFill>
              <a:ln>
                <a:prstDash val="solid"/>
              </a:ln>
            </spPr>
          </dPt>
          <dPt>
            <idx val="11"/>
            <spPr>
              <a:solidFill>
                <a:srgbClr val="BDD7EE"/>
              </a:solidFill>
              <a:ln>
                <a:prstDash val="solid"/>
              </a:ln>
            </spPr>
          </dPt>
          <dPt>
            <idx val="12"/>
            <spPr>
              <a:solidFill>
                <a:srgbClr val="F4B183"/>
              </a:solidFill>
              <a:ln>
                <a:prstDash val="solid"/>
              </a:ln>
            </spPr>
          </dPt>
          <dPt>
            <idx val="13"/>
            <spPr>
              <a:solidFill>
                <a:srgbClr val="C5E0B4"/>
              </a:solidFill>
              <a:ln>
                <a:prstDash val="solid"/>
              </a:ln>
            </spPr>
          </dPt>
          <cat>
            <numRef>
              <f>'OS Dashboard'!$A$6:$A$11</f>
            </numRef>
          </cat>
          <val>
            <numRef>
              <f>'OS Dashboard'!$B$6:$B$11</f>
            </numRef>
          </val>
        </ser>
        <dLbls>
          <showVal val="0"/>
          <showCatName val="1"/>
          <showSer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Feature Update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'OS Dashboard'!D14</f>
            </strRef>
          </tx>
          <spPr>
            <a:solidFill>
              <a:srgbClr val="4472C4"/>
            </a:solidFill>
            <a:ln>
              <a:prstDash val="solid"/>
            </a:ln>
          </spPr>
          <cat>
            <numRef>
              <f>'OS Dashboard'!$B$15:$B$20</f>
            </numRef>
          </cat>
          <val>
            <numRef>
              <f>'OS Dashboard'!$D$15:$D$20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Device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RAM Distribution</a:t>
            </a:r>
          </a:p>
        </rich>
      </tx>
    </title>
    <plotArea>
      <pieChart>
        <varyColors val="1"/>
        <ser>
          <idx val="0"/>
          <order val="0"/>
          <tx>
            <strRef>
              <f>'Hardware Dashboard'!B5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472C4"/>
              </a:solidFill>
              <a:ln>
                <a:prstDash val="solid"/>
              </a:ln>
            </spPr>
          </dPt>
          <dPt>
            <idx val="1"/>
            <spPr>
              <a:solidFill>
                <a:srgbClr val="ED7D31"/>
              </a:solidFill>
              <a:ln>
                <a:prstDash val="solid"/>
              </a:ln>
            </spPr>
          </dPt>
          <dPt>
            <idx val="2"/>
            <spPr>
              <a:solidFill>
                <a:srgbClr val="A5A5A5"/>
              </a:solidFill>
              <a:ln>
                <a:prstDash val="solid"/>
              </a:ln>
            </spPr>
          </dPt>
          <dPt>
            <idx val="3"/>
            <spPr>
              <a:solidFill>
                <a:srgbClr val="FFC000"/>
              </a:solidFill>
              <a:ln>
                <a:prstDash val="solid"/>
              </a:ln>
            </spPr>
          </dPt>
          <dPt>
            <idx val="4"/>
            <spPr>
              <a:solidFill>
                <a:srgbClr val="5B9BD5"/>
              </a:solidFill>
              <a:ln>
                <a:prstDash val="solid"/>
              </a:ln>
            </spPr>
          </dPt>
          <dPt>
            <idx val="5"/>
            <spPr>
              <a:solidFill>
                <a:srgbClr val="70AD47"/>
              </a:solidFill>
              <a:ln>
                <a:prstDash val="solid"/>
              </a:ln>
            </spPr>
          </dPt>
          <dPt>
            <idx val="6"/>
            <spPr>
              <a:solidFill>
                <a:srgbClr val="264478"/>
              </a:solidFill>
              <a:ln>
                <a:prstDash val="solid"/>
              </a:ln>
            </spPr>
          </dPt>
          <dPt>
            <idx val="7"/>
            <spPr>
              <a:solidFill>
                <a:srgbClr val="9B57A1"/>
              </a:solidFill>
              <a:ln>
                <a:prstDash val="solid"/>
              </a:ln>
            </spPr>
          </dPt>
          <dPt>
            <idx val="8"/>
            <spPr>
              <a:solidFill>
                <a:srgbClr val="636363"/>
              </a:solidFill>
              <a:ln>
                <a:prstDash val="solid"/>
              </a:ln>
            </spPr>
          </dPt>
          <dPt>
            <idx val="9"/>
            <spPr>
              <a:solidFill>
                <a:srgbClr val="FF6B6B"/>
              </a:solidFill>
              <a:ln>
                <a:prstDash val="solid"/>
              </a:ln>
            </spPr>
          </dPt>
          <dPt>
            <idx val="10"/>
            <spPr>
              <a:solidFill>
                <a:srgbClr val="44546A"/>
              </a:solidFill>
              <a:ln>
                <a:prstDash val="solid"/>
              </a:ln>
            </spPr>
          </dPt>
          <dPt>
            <idx val="11"/>
            <spPr>
              <a:solidFill>
                <a:srgbClr val="BDD7EE"/>
              </a:solidFill>
              <a:ln>
                <a:prstDash val="solid"/>
              </a:ln>
            </spPr>
          </dPt>
          <dPt>
            <idx val="12"/>
            <spPr>
              <a:solidFill>
                <a:srgbClr val="F4B183"/>
              </a:solidFill>
              <a:ln>
                <a:prstDash val="solid"/>
              </a:ln>
            </spPr>
          </dPt>
          <dPt>
            <idx val="13"/>
            <spPr>
              <a:solidFill>
                <a:srgbClr val="C5E0B4"/>
              </a:solidFill>
              <a:ln>
                <a:prstDash val="solid"/>
              </a:ln>
            </spPr>
          </dPt>
          <cat>
            <numRef>
              <f>'Hardware Dashboard'!$A$6:$A$10</f>
            </numRef>
          </cat>
          <val>
            <numRef>
              <f>'Hardware Dashboard'!$B$6:$B$10</f>
            </numRef>
          </val>
        </ser>
        <dLbls>
          <showVal val="0"/>
          <showCatName val="1"/>
          <showSer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Device Models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'Hardware Dashboard'!D13</f>
            </strRef>
          </tx>
          <spPr>
            <a:solidFill>
              <a:srgbClr val="4472C4"/>
            </a:solidFill>
            <a:ln>
              <a:prstDash val="solid"/>
            </a:ln>
          </spPr>
          <cat>
            <numRef>
              <f>'Hardware Dashboard'!$B$14:$B$21</f>
            </numRef>
          </cat>
          <val>
            <numRef>
              <f>'Hardware Dashboard'!$D$14:$D$21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MECM Client Versions</a:t>
            </a:r>
          </a:p>
        </rich>
      </tx>
    </title>
    <plotArea>
      <pieChart>
        <varyColors val="1"/>
        <ser>
          <idx val="0"/>
          <order val="0"/>
          <tx>
            <strRef>
              <f>'Client Health'!B5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472C4"/>
              </a:solidFill>
              <a:ln>
                <a:prstDash val="solid"/>
              </a:ln>
            </spPr>
          </dPt>
          <dPt>
            <idx val="1"/>
            <spPr>
              <a:solidFill>
                <a:srgbClr val="ED7D31"/>
              </a:solidFill>
              <a:ln>
                <a:prstDash val="solid"/>
              </a:ln>
            </spPr>
          </dPt>
          <dPt>
            <idx val="2"/>
            <spPr>
              <a:solidFill>
                <a:srgbClr val="A5A5A5"/>
              </a:solidFill>
              <a:ln>
                <a:prstDash val="solid"/>
              </a:ln>
            </spPr>
          </dPt>
          <dPt>
            <idx val="3"/>
            <spPr>
              <a:solidFill>
                <a:srgbClr val="FFC000"/>
              </a:solidFill>
              <a:ln>
                <a:prstDash val="solid"/>
              </a:ln>
            </spPr>
          </dPt>
          <dPt>
            <idx val="4"/>
            <spPr>
              <a:solidFill>
                <a:srgbClr val="5B9BD5"/>
              </a:solidFill>
              <a:ln>
                <a:prstDash val="solid"/>
              </a:ln>
            </spPr>
          </dPt>
          <dPt>
            <idx val="5"/>
            <spPr>
              <a:solidFill>
                <a:srgbClr val="70AD47"/>
              </a:solidFill>
              <a:ln>
                <a:prstDash val="solid"/>
              </a:ln>
            </spPr>
          </dPt>
          <dPt>
            <idx val="6"/>
            <spPr>
              <a:solidFill>
                <a:srgbClr val="264478"/>
              </a:solidFill>
              <a:ln>
                <a:prstDash val="solid"/>
              </a:ln>
            </spPr>
          </dPt>
          <dPt>
            <idx val="7"/>
            <spPr>
              <a:solidFill>
                <a:srgbClr val="9B57A1"/>
              </a:solidFill>
              <a:ln>
                <a:prstDash val="solid"/>
              </a:ln>
            </spPr>
          </dPt>
          <dPt>
            <idx val="8"/>
            <spPr>
              <a:solidFill>
                <a:srgbClr val="636363"/>
              </a:solidFill>
              <a:ln>
                <a:prstDash val="solid"/>
              </a:ln>
            </spPr>
          </dPt>
          <dPt>
            <idx val="9"/>
            <spPr>
              <a:solidFill>
                <a:srgbClr val="FF6B6B"/>
              </a:solidFill>
              <a:ln>
                <a:prstDash val="solid"/>
              </a:ln>
            </spPr>
          </dPt>
          <dPt>
            <idx val="10"/>
            <spPr>
              <a:solidFill>
                <a:srgbClr val="44546A"/>
              </a:solidFill>
              <a:ln>
                <a:prstDash val="solid"/>
              </a:ln>
            </spPr>
          </dPt>
          <dPt>
            <idx val="11"/>
            <spPr>
              <a:solidFill>
                <a:srgbClr val="BDD7EE"/>
              </a:solidFill>
              <a:ln>
                <a:prstDash val="solid"/>
              </a:ln>
            </spPr>
          </dPt>
          <dPt>
            <idx val="12"/>
            <spPr>
              <a:solidFill>
                <a:srgbClr val="F4B183"/>
              </a:solidFill>
              <a:ln>
                <a:prstDash val="solid"/>
              </a:ln>
            </spPr>
          </dPt>
          <dPt>
            <idx val="13"/>
            <spPr>
              <a:solidFill>
                <a:srgbClr val="C5E0B4"/>
              </a:solidFill>
              <a:ln>
                <a:prstDash val="solid"/>
              </a:ln>
            </spPr>
          </dPt>
          <cat>
            <numRef>
              <f>'Client Health'!$A$6:$A$10</f>
            </numRef>
          </cat>
          <val>
            <numRef>
              <f>'Client Health'!$B$6:$B$10</f>
            </numRef>
          </val>
        </ser>
        <dLbls>
          <showVal val="0"/>
          <showCatName val="1"/>
          <showSer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Compliance % by Classification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'Update Compliance'!E5</f>
            </strRef>
          </tx>
          <spPr>
            <a:solidFill>
              <a:srgbClr val="4472C4"/>
            </a:solidFill>
            <a:ln>
              <a:prstDash val="solid"/>
            </a:ln>
          </spPr>
          <cat>
            <numRef>
              <f>'Update Compliance'!$A$6:$A$10</f>
            </numRef>
          </cat>
          <val>
            <numRef>
              <f>'Update Compliance'!$E$6:$E$10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Compliance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Deployment Compliance by Update Group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'Update Compliance'!F13</f>
            </strRef>
          </tx>
          <spPr>
            <a:solidFill>
              <a:srgbClr val="4472C4"/>
            </a:solidFill>
            <a:ln>
              <a:prstDash val="solid"/>
            </a:ln>
          </spPr>
          <cat>
            <numRef>
              <f>'Update Compliance'!$A$14:$A$17</f>
            </numRef>
          </cat>
          <val>
            <numRef>
              <f>'Update Compliance'!$F$14:$F$17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Compliance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BitLocker Protection</a:t>
            </a:r>
          </a:p>
        </rich>
      </tx>
    </title>
    <plotArea>
      <pieChart>
        <varyColors val="1"/>
        <ser>
          <idx val="0"/>
          <order val="0"/>
          <tx>
            <strRef>
              <f>'Security Dashboard'!B5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472C4"/>
              </a:solidFill>
              <a:ln>
                <a:prstDash val="solid"/>
              </a:ln>
            </spPr>
          </dPt>
          <dPt>
            <idx val="1"/>
            <spPr>
              <a:solidFill>
                <a:srgbClr val="ED7D31"/>
              </a:solidFill>
              <a:ln>
                <a:prstDash val="solid"/>
              </a:ln>
            </spPr>
          </dPt>
          <dPt>
            <idx val="2"/>
            <spPr>
              <a:solidFill>
                <a:srgbClr val="A5A5A5"/>
              </a:solidFill>
              <a:ln>
                <a:prstDash val="solid"/>
              </a:ln>
            </spPr>
          </dPt>
          <dPt>
            <idx val="3"/>
            <spPr>
              <a:solidFill>
                <a:srgbClr val="FFC000"/>
              </a:solidFill>
              <a:ln>
                <a:prstDash val="solid"/>
              </a:ln>
            </spPr>
          </dPt>
          <dPt>
            <idx val="4"/>
            <spPr>
              <a:solidFill>
                <a:srgbClr val="5B9BD5"/>
              </a:solidFill>
              <a:ln>
                <a:prstDash val="solid"/>
              </a:ln>
            </spPr>
          </dPt>
          <dPt>
            <idx val="5"/>
            <spPr>
              <a:solidFill>
                <a:srgbClr val="70AD47"/>
              </a:solidFill>
              <a:ln>
                <a:prstDash val="solid"/>
              </a:ln>
            </spPr>
          </dPt>
          <dPt>
            <idx val="6"/>
            <spPr>
              <a:solidFill>
                <a:srgbClr val="264478"/>
              </a:solidFill>
              <a:ln>
                <a:prstDash val="solid"/>
              </a:ln>
            </spPr>
          </dPt>
          <dPt>
            <idx val="7"/>
            <spPr>
              <a:solidFill>
                <a:srgbClr val="9B57A1"/>
              </a:solidFill>
              <a:ln>
                <a:prstDash val="solid"/>
              </a:ln>
            </spPr>
          </dPt>
          <dPt>
            <idx val="8"/>
            <spPr>
              <a:solidFill>
                <a:srgbClr val="636363"/>
              </a:solidFill>
              <a:ln>
                <a:prstDash val="solid"/>
              </a:ln>
            </spPr>
          </dPt>
          <dPt>
            <idx val="9"/>
            <spPr>
              <a:solidFill>
                <a:srgbClr val="FF6B6B"/>
              </a:solidFill>
              <a:ln>
                <a:prstDash val="solid"/>
              </a:ln>
            </spPr>
          </dPt>
          <dPt>
            <idx val="10"/>
            <spPr>
              <a:solidFill>
                <a:srgbClr val="44546A"/>
              </a:solidFill>
              <a:ln>
                <a:prstDash val="solid"/>
              </a:ln>
            </spPr>
          </dPt>
          <dPt>
            <idx val="11"/>
            <spPr>
              <a:solidFill>
                <a:srgbClr val="BDD7EE"/>
              </a:solidFill>
              <a:ln>
                <a:prstDash val="solid"/>
              </a:ln>
            </spPr>
          </dPt>
          <dPt>
            <idx val="12"/>
            <spPr>
              <a:solidFill>
                <a:srgbClr val="F4B183"/>
              </a:solidFill>
              <a:ln>
                <a:prstDash val="solid"/>
              </a:ln>
            </spPr>
          </dPt>
          <dPt>
            <idx val="13"/>
            <spPr>
              <a:solidFill>
                <a:srgbClr val="C5E0B4"/>
              </a:solidFill>
              <a:ln>
                <a:prstDash val="solid"/>
              </a:ln>
            </spPr>
          </dPt>
          <cat>
            <numRef>
              <f>'Security Dashboard'!$A$6:$A$8</f>
            </numRef>
          </cat>
          <val>
            <numRef>
              <f>'Security Dashboard'!$B$6:$B$8</f>
            </numRef>
          </val>
        </ser>
        <dLbls>
          <showVal val="0"/>
          <showCatName val="1"/>
          <showSer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Secure Boot</a:t>
            </a:r>
          </a:p>
        </rich>
      </tx>
    </title>
    <plotArea>
      <pieChart>
        <varyColors val="1"/>
        <ser>
          <idx val="0"/>
          <order val="0"/>
          <tx>
            <strRef>
              <f>'Security Dashboard'!B11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472C4"/>
              </a:solidFill>
              <a:ln>
                <a:prstDash val="solid"/>
              </a:ln>
            </spPr>
          </dPt>
          <dPt>
            <idx val="1"/>
            <spPr>
              <a:solidFill>
                <a:srgbClr val="ED7D31"/>
              </a:solidFill>
              <a:ln>
                <a:prstDash val="solid"/>
              </a:ln>
            </spPr>
          </dPt>
          <dPt>
            <idx val="2"/>
            <spPr>
              <a:solidFill>
                <a:srgbClr val="A5A5A5"/>
              </a:solidFill>
              <a:ln>
                <a:prstDash val="solid"/>
              </a:ln>
            </spPr>
          </dPt>
          <dPt>
            <idx val="3"/>
            <spPr>
              <a:solidFill>
                <a:srgbClr val="FFC000"/>
              </a:solidFill>
              <a:ln>
                <a:prstDash val="solid"/>
              </a:ln>
            </spPr>
          </dPt>
          <dPt>
            <idx val="4"/>
            <spPr>
              <a:solidFill>
                <a:srgbClr val="5B9BD5"/>
              </a:solidFill>
              <a:ln>
                <a:prstDash val="solid"/>
              </a:ln>
            </spPr>
          </dPt>
          <dPt>
            <idx val="5"/>
            <spPr>
              <a:solidFill>
                <a:srgbClr val="70AD47"/>
              </a:solidFill>
              <a:ln>
                <a:prstDash val="solid"/>
              </a:ln>
            </spPr>
          </dPt>
          <dPt>
            <idx val="6"/>
            <spPr>
              <a:solidFill>
                <a:srgbClr val="264478"/>
              </a:solidFill>
              <a:ln>
                <a:prstDash val="solid"/>
              </a:ln>
            </spPr>
          </dPt>
          <dPt>
            <idx val="7"/>
            <spPr>
              <a:solidFill>
                <a:srgbClr val="9B57A1"/>
              </a:solidFill>
              <a:ln>
                <a:prstDash val="solid"/>
              </a:ln>
            </spPr>
          </dPt>
          <dPt>
            <idx val="8"/>
            <spPr>
              <a:solidFill>
                <a:srgbClr val="636363"/>
              </a:solidFill>
              <a:ln>
                <a:prstDash val="solid"/>
              </a:ln>
            </spPr>
          </dPt>
          <dPt>
            <idx val="9"/>
            <spPr>
              <a:solidFill>
                <a:srgbClr val="FF6B6B"/>
              </a:solidFill>
              <a:ln>
                <a:prstDash val="solid"/>
              </a:ln>
            </spPr>
          </dPt>
          <dPt>
            <idx val="10"/>
            <spPr>
              <a:solidFill>
                <a:srgbClr val="44546A"/>
              </a:solidFill>
              <a:ln>
                <a:prstDash val="solid"/>
              </a:ln>
            </spPr>
          </dPt>
          <dPt>
            <idx val="11"/>
            <spPr>
              <a:solidFill>
                <a:srgbClr val="BDD7EE"/>
              </a:solidFill>
              <a:ln>
                <a:prstDash val="solid"/>
              </a:ln>
            </spPr>
          </dPt>
          <dPt>
            <idx val="12"/>
            <spPr>
              <a:solidFill>
                <a:srgbClr val="F4B183"/>
              </a:solidFill>
              <a:ln>
                <a:prstDash val="solid"/>
              </a:ln>
            </spPr>
          </dPt>
          <dPt>
            <idx val="13"/>
            <spPr>
              <a:solidFill>
                <a:srgbClr val="C5E0B4"/>
              </a:solidFill>
              <a:ln>
                <a:prstDash val="solid"/>
              </a:ln>
            </spPr>
          </dPt>
          <cat>
            <numRef>
              <f>'Security Dashboard'!$A$12:$A$14</f>
            </numRef>
          </cat>
          <val>
            <numRef>
              <f>'Security Dashboard'!$B$12:$B$14</f>
            </numRef>
          </val>
        </ser>
        <dLbls>
          <showVal val="0"/>
          <showCatName val="1"/>
          <showSer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Defender Real-Time Protection</a:t>
            </a:r>
          </a:p>
        </rich>
      </tx>
    </title>
    <plotArea>
      <pieChart>
        <varyColors val="1"/>
        <ser>
          <idx val="0"/>
          <order val="0"/>
          <tx>
            <strRef>
              <f>'Security Dashboard'!B17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472C4"/>
              </a:solidFill>
              <a:ln>
                <a:prstDash val="solid"/>
              </a:ln>
            </spPr>
          </dPt>
          <dPt>
            <idx val="1"/>
            <spPr>
              <a:solidFill>
                <a:srgbClr val="ED7D31"/>
              </a:solidFill>
              <a:ln>
                <a:prstDash val="solid"/>
              </a:ln>
            </spPr>
          </dPt>
          <dPt>
            <idx val="2"/>
            <spPr>
              <a:solidFill>
                <a:srgbClr val="A5A5A5"/>
              </a:solidFill>
              <a:ln>
                <a:prstDash val="solid"/>
              </a:ln>
            </spPr>
          </dPt>
          <dPt>
            <idx val="3"/>
            <spPr>
              <a:solidFill>
                <a:srgbClr val="FFC000"/>
              </a:solidFill>
              <a:ln>
                <a:prstDash val="solid"/>
              </a:ln>
            </spPr>
          </dPt>
          <dPt>
            <idx val="4"/>
            <spPr>
              <a:solidFill>
                <a:srgbClr val="5B9BD5"/>
              </a:solidFill>
              <a:ln>
                <a:prstDash val="solid"/>
              </a:ln>
            </spPr>
          </dPt>
          <dPt>
            <idx val="5"/>
            <spPr>
              <a:solidFill>
                <a:srgbClr val="70AD47"/>
              </a:solidFill>
              <a:ln>
                <a:prstDash val="solid"/>
              </a:ln>
            </spPr>
          </dPt>
          <dPt>
            <idx val="6"/>
            <spPr>
              <a:solidFill>
                <a:srgbClr val="264478"/>
              </a:solidFill>
              <a:ln>
                <a:prstDash val="solid"/>
              </a:ln>
            </spPr>
          </dPt>
          <dPt>
            <idx val="7"/>
            <spPr>
              <a:solidFill>
                <a:srgbClr val="9B57A1"/>
              </a:solidFill>
              <a:ln>
                <a:prstDash val="solid"/>
              </a:ln>
            </spPr>
          </dPt>
          <dPt>
            <idx val="8"/>
            <spPr>
              <a:solidFill>
                <a:srgbClr val="636363"/>
              </a:solidFill>
              <a:ln>
                <a:prstDash val="solid"/>
              </a:ln>
            </spPr>
          </dPt>
          <dPt>
            <idx val="9"/>
            <spPr>
              <a:solidFill>
                <a:srgbClr val="FF6B6B"/>
              </a:solidFill>
              <a:ln>
                <a:prstDash val="solid"/>
              </a:ln>
            </spPr>
          </dPt>
          <dPt>
            <idx val="10"/>
            <spPr>
              <a:solidFill>
                <a:srgbClr val="44546A"/>
              </a:solidFill>
              <a:ln>
                <a:prstDash val="solid"/>
              </a:ln>
            </spPr>
          </dPt>
          <dPt>
            <idx val="11"/>
            <spPr>
              <a:solidFill>
                <a:srgbClr val="BDD7EE"/>
              </a:solidFill>
              <a:ln>
                <a:prstDash val="solid"/>
              </a:ln>
            </spPr>
          </dPt>
          <dPt>
            <idx val="12"/>
            <spPr>
              <a:solidFill>
                <a:srgbClr val="F4B183"/>
              </a:solidFill>
              <a:ln>
                <a:prstDash val="solid"/>
              </a:ln>
            </spPr>
          </dPt>
          <dPt>
            <idx val="13"/>
            <spPr>
              <a:solidFill>
                <a:srgbClr val="C5E0B4"/>
              </a:solidFill>
              <a:ln>
                <a:prstDash val="solid"/>
              </a:ln>
            </spPr>
          </dPt>
          <cat>
            <numRef>
              <f>'Security Dashboard'!$A$18:$A$20</f>
            </numRef>
          </cat>
          <val>
            <numRef>
              <f>'Security Dashboard'!$B$18:$B$20</f>
            </numRef>
          </val>
        </ser>
        <dLbls>
          <showVal val="0"/>
          <showCatName val="1"/>
          <showSer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TPM Activation</a:t>
            </a:r>
          </a:p>
        </rich>
      </tx>
    </title>
    <plotArea>
      <pieChart>
        <varyColors val="1"/>
        <ser>
          <idx val="0"/>
          <order val="0"/>
          <tx>
            <strRef>
              <f>'Security Dashboard'!B23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472C4"/>
              </a:solidFill>
              <a:ln>
                <a:prstDash val="solid"/>
              </a:ln>
            </spPr>
          </dPt>
          <dPt>
            <idx val="1"/>
            <spPr>
              <a:solidFill>
                <a:srgbClr val="ED7D31"/>
              </a:solidFill>
              <a:ln>
                <a:prstDash val="solid"/>
              </a:ln>
            </spPr>
          </dPt>
          <dPt>
            <idx val="2"/>
            <spPr>
              <a:solidFill>
                <a:srgbClr val="A5A5A5"/>
              </a:solidFill>
              <a:ln>
                <a:prstDash val="solid"/>
              </a:ln>
            </spPr>
          </dPt>
          <dPt>
            <idx val="3"/>
            <spPr>
              <a:solidFill>
                <a:srgbClr val="FFC000"/>
              </a:solidFill>
              <a:ln>
                <a:prstDash val="solid"/>
              </a:ln>
            </spPr>
          </dPt>
          <dPt>
            <idx val="4"/>
            <spPr>
              <a:solidFill>
                <a:srgbClr val="5B9BD5"/>
              </a:solidFill>
              <a:ln>
                <a:prstDash val="solid"/>
              </a:ln>
            </spPr>
          </dPt>
          <dPt>
            <idx val="5"/>
            <spPr>
              <a:solidFill>
                <a:srgbClr val="70AD47"/>
              </a:solidFill>
              <a:ln>
                <a:prstDash val="solid"/>
              </a:ln>
            </spPr>
          </dPt>
          <dPt>
            <idx val="6"/>
            <spPr>
              <a:solidFill>
                <a:srgbClr val="264478"/>
              </a:solidFill>
              <a:ln>
                <a:prstDash val="solid"/>
              </a:ln>
            </spPr>
          </dPt>
          <dPt>
            <idx val="7"/>
            <spPr>
              <a:solidFill>
                <a:srgbClr val="9B57A1"/>
              </a:solidFill>
              <a:ln>
                <a:prstDash val="solid"/>
              </a:ln>
            </spPr>
          </dPt>
          <dPt>
            <idx val="8"/>
            <spPr>
              <a:solidFill>
                <a:srgbClr val="636363"/>
              </a:solidFill>
              <a:ln>
                <a:prstDash val="solid"/>
              </a:ln>
            </spPr>
          </dPt>
          <dPt>
            <idx val="9"/>
            <spPr>
              <a:solidFill>
                <a:srgbClr val="FF6B6B"/>
              </a:solidFill>
              <a:ln>
                <a:prstDash val="solid"/>
              </a:ln>
            </spPr>
          </dPt>
          <dPt>
            <idx val="10"/>
            <spPr>
              <a:solidFill>
                <a:srgbClr val="44546A"/>
              </a:solidFill>
              <a:ln>
                <a:prstDash val="solid"/>
              </a:ln>
            </spPr>
          </dPt>
          <dPt>
            <idx val="11"/>
            <spPr>
              <a:solidFill>
                <a:srgbClr val="BDD7EE"/>
              </a:solidFill>
              <a:ln>
                <a:prstDash val="solid"/>
              </a:ln>
            </spPr>
          </dPt>
          <dPt>
            <idx val="12"/>
            <spPr>
              <a:solidFill>
                <a:srgbClr val="F4B183"/>
              </a:solidFill>
              <a:ln>
                <a:prstDash val="solid"/>
              </a:ln>
            </spPr>
          </dPt>
          <dPt>
            <idx val="13"/>
            <spPr>
              <a:solidFill>
                <a:srgbClr val="C5E0B4"/>
              </a:solidFill>
              <a:ln>
                <a:prstDash val="solid"/>
              </a:ln>
            </spPr>
          </dPt>
          <cat>
            <numRef>
              <f>'Security Dashboard'!$A$24:$A$26</f>
            </numRef>
          </cat>
          <val>
            <numRef>
              <f>'Security Dashboard'!$B$24:$B$26</f>
            </numRef>
          </val>
        </ser>
        <dLbls>
          <showVal val="0"/>
          <showCatName val="1"/>
          <showSer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Deployment Outcome Distribution</a:t>
            </a:r>
          </a:p>
        </rich>
      </tx>
    </title>
    <plotArea>
      <pieChart>
        <varyColors val="1"/>
        <ser>
          <idx val="0"/>
          <order val="0"/>
          <tx>
            <strRef>
              <f>'Applications'!B5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472C4"/>
              </a:solidFill>
              <a:ln>
                <a:prstDash val="solid"/>
              </a:ln>
            </spPr>
          </dPt>
          <dPt>
            <idx val="1"/>
            <spPr>
              <a:solidFill>
                <a:srgbClr val="ED7D31"/>
              </a:solidFill>
              <a:ln>
                <a:prstDash val="solid"/>
              </a:ln>
            </spPr>
          </dPt>
          <dPt>
            <idx val="2"/>
            <spPr>
              <a:solidFill>
                <a:srgbClr val="A5A5A5"/>
              </a:solidFill>
              <a:ln>
                <a:prstDash val="solid"/>
              </a:ln>
            </spPr>
          </dPt>
          <dPt>
            <idx val="3"/>
            <spPr>
              <a:solidFill>
                <a:srgbClr val="FFC000"/>
              </a:solidFill>
              <a:ln>
                <a:prstDash val="solid"/>
              </a:ln>
            </spPr>
          </dPt>
          <dPt>
            <idx val="4"/>
            <spPr>
              <a:solidFill>
                <a:srgbClr val="5B9BD5"/>
              </a:solidFill>
              <a:ln>
                <a:prstDash val="solid"/>
              </a:ln>
            </spPr>
          </dPt>
          <dPt>
            <idx val="5"/>
            <spPr>
              <a:solidFill>
                <a:srgbClr val="70AD47"/>
              </a:solidFill>
              <a:ln>
                <a:prstDash val="solid"/>
              </a:ln>
            </spPr>
          </dPt>
          <dPt>
            <idx val="6"/>
            <spPr>
              <a:solidFill>
                <a:srgbClr val="264478"/>
              </a:solidFill>
              <a:ln>
                <a:prstDash val="solid"/>
              </a:ln>
            </spPr>
          </dPt>
          <dPt>
            <idx val="7"/>
            <spPr>
              <a:solidFill>
                <a:srgbClr val="9B57A1"/>
              </a:solidFill>
              <a:ln>
                <a:prstDash val="solid"/>
              </a:ln>
            </spPr>
          </dPt>
          <dPt>
            <idx val="8"/>
            <spPr>
              <a:solidFill>
                <a:srgbClr val="636363"/>
              </a:solidFill>
              <a:ln>
                <a:prstDash val="solid"/>
              </a:ln>
            </spPr>
          </dPt>
          <dPt>
            <idx val="9"/>
            <spPr>
              <a:solidFill>
                <a:srgbClr val="FF6B6B"/>
              </a:solidFill>
              <a:ln>
                <a:prstDash val="solid"/>
              </a:ln>
            </spPr>
          </dPt>
          <dPt>
            <idx val="10"/>
            <spPr>
              <a:solidFill>
                <a:srgbClr val="44546A"/>
              </a:solidFill>
              <a:ln>
                <a:prstDash val="solid"/>
              </a:ln>
            </spPr>
          </dPt>
          <dPt>
            <idx val="11"/>
            <spPr>
              <a:solidFill>
                <a:srgbClr val="BDD7EE"/>
              </a:solidFill>
              <a:ln>
                <a:prstDash val="solid"/>
              </a:ln>
            </spPr>
          </dPt>
          <dPt>
            <idx val="12"/>
            <spPr>
              <a:solidFill>
                <a:srgbClr val="F4B183"/>
              </a:solidFill>
              <a:ln>
                <a:prstDash val="solid"/>
              </a:ln>
            </spPr>
          </dPt>
          <dPt>
            <idx val="13"/>
            <spPr>
              <a:solidFill>
                <a:srgbClr val="C5E0B4"/>
              </a:solidFill>
              <a:ln>
                <a:prstDash val="solid"/>
              </a:ln>
            </spPr>
          </dPt>
          <cat>
            <numRef>
              <f>'Applications'!$A$6:$A$8</f>
            </numRef>
          </cat>
          <val>
            <numRef>
              <f>'Applications'!$B$6:$B$8</f>
            </numRef>
          </val>
        </ser>
        <dLbls>
          <showVal val="0"/>
          <showCatName val="1"/>
          <showSer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Success Rate by Application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'Applications'!H11</f>
            </strRef>
          </tx>
          <spPr>
            <a:solidFill>
              <a:srgbClr val="4472C4"/>
            </a:solidFill>
            <a:ln>
              <a:prstDash val="solid"/>
            </a:ln>
          </spPr>
          <cat>
            <numRef>
              <f>'Applications'!$A$12:$A$17</f>
            </numRef>
          </cat>
          <val>
            <numRef>
              <f>'Applications'!$H$12:$H$17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Success Rate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Server OS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'Server Dashboard'!D5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472C4"/>
              </a:solidFill>
              <a:ln>
                <a:prstDash val="solid"/>
              </a:ln>
            </spPr>
          </dPt>
          <dPt>
            <idx val="1"/>
            <spPr>
              <a:solidFill>
                <a:srgbClr val="ED7D31"/>
              </a:solidFill>
              <a:ln>
                <a:prstDash val="solid"/>
              </a:ln>
            </spPr>
          </dPt>
          <dPt>
            <idx val="2"/>
            <spPr>
              <a:solidFill>
                <a:srgbClr val="A5A5A5"/>
              </a:solidFill>
              <a:ln>
                <a:prstDash val="solid"/>
              </a:ln>
            </spPr>
          </dPt>
          <dPt>
            <idx val="3"/>
            <spPr>
              <a:solidFill>
                <a:srgbClr val="FFC000"/>
              </a:solidFill>
              <a:ln>
                <a:prstDash val="solid"/>
              </a:ln>
            </spPr>
          </dPt>
          <dPt>
            <idx val="4"/>
            <spPr>
              <a:solidFill>
                <a:srgbClr val="5B9BD5"/>
              </a:solidFill>
              <a:ln>
                <a:prstDash val="solid"/>
              </a:ln>
            </spPr>
          </dPt>
          <dPt>
            <idx val="5"/>
            <spPr>
              <a:solidFill>
                <a:srgbClr val="70AD47"/>
              </a:solidFill>
              <a:ln>
                <a:prstDash val="solid"/>
              </a:ln>
            </spPr>
          </dPt>
          <dPt>
            <idx val="6"/>
            <spPr>
              <a:solidFill>
                <a:srgbClr val="264478"/>
              </a:solidFill>
              <a:ln>
                <a:prstDash val="solid"/>
              </a:ln>
            </spPr>
          </dPt>
          <dPt>
            <idx val="7"/>
            <spPr>
              <a:solidFill>
                <a:srgbClr val="9B57A1"/>
              </a:solidFill>
              <a:ln>
                <a:prstDash val="solid"/>
              </a:ln>
            </spPr>
          </dPt>
          <dPt>
            <idx val="8"/>
            <spPr>
              <a:solidFill>
                <a:srgbClr val="636363"/>
              </a:solidFill>
              <a:ln>
                <a:prstDash val="solid"/>
              </a:ln>
            </spPr>
          </dPt>
          <dPt>
            <idx val="9"/>
            <spPr>
              <a:solidFill>
                <a:srgbClr val="FF6B6B"/>
              </a:solidFill>
              <a:ln>
                <a:prstDash val="solid"/>
              </a:ln>
            </spPr>
          </dPt>
          <dPt>
            <idx val="10"/>
            <spPr>
              <a:solidFill>
                <a:srgbClr val="44546A"/>
              </a:solidFill>
              <a:ln>
                <a:prstDash val="solid"/>
              </a:ln>
            </spPr>
          </dPt>
          <dPt>
            <idx val="11"/>
            <spPr>
              <a:solidFill>
                <a:srgbClr val="BDD7EE"/>
              </a:solidFill>
              <a:ln>
                <a:prstDash val="solid"/>
              </a:ln>
            </spPr>
          </dPt>
          <dPt>
            <idx val="12"/>
            <spPr>
              <a:solidFill>
                <a:srgbClr val="F4B183"/>
              </a:solidFill>
              <a:ln>
                <a:prstDash val="solid"/>
              </a:ln>
            </spPr>
          </dPt>
          <dPt>
            <idx val="13"/>
            <spPr>
              <a:solidFill>
                <a:srgbClr val="C5E0B4"/>
              </a:solidFill>
              <a:ln>
                <a:prstDash val="solid"/>
              </a:ln>
            </spPr>
          </dPt>
          <cat>
            <numRef>
              <f>'Server Dashboard'!$B$6:$B$11</f>
            </numRef>
          </cat>
          <val>
            <numRef>
              <f>'Server Dashboard'!$D$6:$D$11</f>
            </numRef>
          </val>
        </ser>
        <dLbls>
          <showVal val="0"/>
          <showCatName val="1"/>
          <showSer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Server Count by Version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'Server Dashboard'!D5</f>
            </strRef>
          </tx>
          <spPr>
            <a:solidFill>
              <a:srgbClr val="4472C4"/>
            </a:solidFill>
            <a:ln>
              <a:prstDash val="solid"/>
            </a:ln>
          </spPr>
          <cat>
            <numRef>
              <f>'Server Dashboard'!$B$6:$B$11</f>
            </numRef>
          </cat>
          <val>
            <numRef>
              <f>'Server Dashboard'!$D$6:$D$11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Server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 /><Relationship Type="http://schemas.openxmlformats.org/officeDocument/2006/relationships/chart" Target="/xl/charts/chart9.xml" Id="rId2" /><Relationship Type="http://schemas.openxmlformats.org/officeDocument/2006/relationships/chart" Target="/xl/charts/chart10.xml" Id="rId3" /><Relationship Type="http://schemas.openxmlformats.org/officeDocument/2006/relationships/chart" Target="/xl/charts/chart11.xml" Id="rId4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2.xml" Id="rId1" /><Relationship Type="http://schemas.openxmlformats.org/officeDocument/2006/relationships/chart" Target="/xl/charts/chart13.xml" Id="rId2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14.xml" Id="rId1" /><Relationship Type="http://schemas.openxmlformats.org/officeDocument/2006/relationships/chart" Target="/xl/charts/chart15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4</row>
      <rowOff>0</rowOff>
    </from>
    <ext cx="46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4</row>
      <rowOff>0</rowOff>
    </from>
    <ext cx="46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12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4</row>
      <rowOff>0</rowOff>
    </from>
    <ext cx="46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4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12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4</row>
      <rowOff>0</rowOff>
    </from>
    <ext cx="46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10</row>
      <rowOff>0</rowOff>
    </from>
    <ext cx="46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16</row>
      <rowOff>0</rowOff>
    </from>
    <ext cx="468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4</col>
      <colOff>0</colOff>
      <row>22</row>
      <rowOff>0</rowOff>
    </from>
    <ext cx="468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4</row>
      <rowOff>0</rowOff>
    </from>
    <ext cx="46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10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4</row>
      <rowOff>0</rowOff>
    </from>
    <ext cx="46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20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OSCount" displayName="OSCount" ref="A5:B11" headerRowCount="1">
  <autoFilter ref="A5:B11"/>
  <tableColumns count="2">
    <tableColumn id="1" name="Operating System"/>
    <tableColumn id="2" name="Device C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eatureUpdates" displayName="FeatureUpdates" ref="A14:D20" headerRowCount="1">
  <autoFilter ref="A14:D20"/>
  <tableColumns count="4">
    <tableColumn id="1" name="Operating System"/>
    <tableColumn id="2" name="Feature Update"/>
    <tableColumn id="3" name="Build Number"/>
    <tableColumn id="4" name="Device Cou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MemoryDist" displayName="MemoryDist" ref="A5:B10" headerRowCount="1">
  <autoFilter ref="A5:B10"/>
  <tableColumns count="2">
    <tableColumn id="1" name="RAM (GB)"/>
    <tableColumn id="2" name="Device Cou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eviceModels" displayName="DeviceModels" ref="A13:D21" headerRowCount="1">
  <autoFilter ref="A13:D21"/>
  <tableColumns count="4">
    <tableColumn id="1" name="Manufacturer"/>
    <tableColumn id="2" name="Model"/>
    <tableColumn id="3" name="Chassis Type"/>
    <tableColumn id="4" name="Device Cou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lientVersion" displayName="ClientVersion" ref="A5:B10" headerRowCount="1">
  <autoFilter ref="A5:B10"/>
  <tableColumns count="2">
    <tableColumn id="1" name="Client Version"/>
    <tableColumn id="2" name="Device Cou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ComplianceSummary" displayName="ComplianceSummary" ref="A5:E10" headerRowCount="1">
  <autoFilter ref="A5:E10"/>
  <tableColumns count="5">
    <tableColumn id="1" name="Classification"/>
    <tableColumn id="2" name="Total Devices"/>
    <tableColumn id="3" name="Required"/>
    <tableColumn id="4" name="Installed"/>
    <tableColumn id="5" name="Compliance %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DeploymentStatus" displayName="DeploymentStatus" ref="A13:F17" headerRowCount="1">
  <autoFilter ref="A13:F17"/>
  <tableColumns count="6">
    <tableColumn id="1" name="Update Group"/>
    <tableColumn id="2" name="Targeted Devices"/>
    <tableColumn id="3" name="Compliant"/>
    <tableColumn id="4" name="Required"/>
    <tableColumn id="5" name="Not Required"/>
    <tableColumn id="6" name="Compliance %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BitLockerStatus" displayName="BitLockerStatus" ref="A5:B8" headerRowCount="1">
  <autoFilter ref="A5:B8"/>
  <tableColumns count="2">
    <tableColumn id="1" name="Protection Status"/>
    <tableColumn id="2" name="Device Coun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SecureBootStatus" displayName="SecureBootStatus" ref="A11:B14" headerRowCount="1">
  <autoFilter ref="A11:B14"/>
  <tableColumns count="2">
    <tableColumn id="1" name="Secure Boot Status"/>
    <tableColumn id="2" name="Device Count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DefenderRTP" displayName="DefenderRTP" ref="A17:B20" headerRowCount="1">
  <autoFilter ref="A17:B20"/>
  <tableColumns count="2">
    <tableColumn id="1" name="Real-Time Protection"/>
    <tableColumn id="2" name="Device Count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PMStatus" displayName="TPMStatus" ref="A23:B26" headerRowCount="1">
  <autoFilter ref="A23:B26"/>
  <tableColumns count="2">
    <tableColumn id="1" name="TPM Status"/>
    <tableColumn id="2" name="Device Count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DeploySummary" displayName="DeploySummary" ref="A5:B8" headerRowCount="1">
  <autoFilter ref="A5:B8"/>
  <tableColumns count="2">
    <tableColumn id="1" name="Metric"/>
    <tableColumn id="2" name="Cou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AppDeployStatus" displayName="AppDeployStatus" ref="A11:H17" headerRowCount="1">
  <autoFilter ref="A11:H17"/>
  <tableColumns count="8">
    <tableColumn id="1" name="Application Name"/>
    <tableColumn id="2" name="Manufacturer"/>
    <tableColumn id="3" name="Target Collection"/>
    <tableColumn id="4" name="Total Targeted"/>
    <tableColumn id="5" name="Success"/>
    <tableColumn id="6" name="In Progress"/>
    <tableColumn id="7" name="Errors"/>
    <tableColumn id="8" name="Success Rate %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ServerOS" displayName="ServerOS" ref="A5:D11" headerRowCount="1">
  <autoFilter ref="A5:D11"/>
  <tableColumns count="4">
    <tableColumn id="1" name="Operating System"/>
    <tableColumn id="2" name="Server Version"/>
    <tableColumn id="3" name="Build Number"/>
    <tableColumn id="4" name="Server 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Relationship Type="http://schemas.openxmlformats.org/officeDocument/2006/relationships/table" Target="/xl/tables/table2.xml" Id="rId3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3.xml" Id="rId2" /><Relationship Type="http://schemas.openxmlformats.org/officeDocument/2006/relationships/table" Target="/xl/tables/table4.xml" Id="rId3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Relationship Type="http://schemas.openxmlformats.org/officeDocument/2006/relationships/table" Target="/xl/tables/table5.xml" Id="rId2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Relationship Type="http://schemas.openxmlformats.org/officeDocument/2006/relationships/table" Target="/xl/tables/table6.xml" Id="rId2" /><Relationship Type="http://schemas.openxmlformats.org/officeDocument/2006/relationships/table" Target="/xl/tables/table7.xml" Id="rId3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Relationship Type="http://schemas.openxmlformats.org/officeDocument/2006/relationships/table" Target="/xl/tables/table8.xml" Id="rId2" /><Relationship Type="http://schemas.openxmlformats.org/officeDocument/2006/relationships/table" Target="/xl/tables/table9.xml" Id="rId3" /><Relationship Type="http://schemas.openxmlformats.org/officeDocument/2006/relationships/table" Target="/xl/tables/table10.xml" Id="rId4" /><Relationship Type="http://schemas.openxmlformats.org/officeDocument/2006/relationships/table" Target="/xl/tables/table11.xml" Id="rId5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Relationship Type="http://schemas.openxmlformats.org/officeDocument/2006/relationships/table" Target="/xl/tables/table12.xml" Id="rId2" /><Relationship Type="http://schemas.openxmlformats.org/officeDocument/2006/relationships/table" Target="/xl/tables/table13.xml" Id="rId3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Relationship Type="http://schemas.openxmlformats.org/officeDocument/2006/relationships/table" Target="/xl/tables/table14.xml" Id="rId2" /></Relationships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6" customWidth="1" min="3" max="3"/>
    <col width="16" customWidth="1" min="4" max="4"/>
  </cols>
  <sheetData>
    <row r="1" ht="35" customHeight="1">
      <c r="A1" s="1" t="inlineStr">
        <is>
          <t>Operating System Dashboard</t>
        </is>
      </c>
    </row>
    <row r="2" ht="22" customHeight="1">
      <c r="A2" s="2" t="inlineStr">
        <is>
          <t>Distribution of Windows operating systems across managed devices</t>
        </is>
      </c>
    </row>
    <row r="4">
      <c r="A4" s="3" t="inlineStr">
        <is>
          <t>OS Distribution</t>
        </is>
      </c>
    </row>
    <row r="5">
      <c r="A5" s="4" t="inlineStr">
        <is>
          <t>Operating System</t>
        </is>
      </c>
      <c r="B5" s="4" t="inlineStr">
        <is>
          <t>Device Count</t>
        </is>
      </c>
    </row>
    <row r="6">
      <c r="A6" s="5" t="inlineStr">
        <is>
          <t>Microsoft Windows 11 Enterprise</t>
        </is>
      </c>
      <c r="B6" s="5" t="n">
        <v>450</v>
      </c>
    </row>
    <row r="7">
      <c r="A7" s="6" t="inlineStr">
        <is>
          <t>Microsoft Windows 10 Enterprise</t>
        </is>
      </c>
      <c r="B7" s="6" t="n">
        <v>320</v>
      </c>
    </row>
    <row r="8">
      <c r="A8" s="5" t="inlineStr">
        <is>
          <t>Microsoft Windows 11 Pro</t>
        </is>
      </c>
      <c r="B8" s="5" t="n">
        <v>150</v>
      </c>
    </row>
    <row r="9">
      <c r="A9" s="6" t="inlineStr">
        <is>
          <t>Microsoft Windows 10 Pro</t>
        </is>
      </c>
      <c r="B9" s="6" t="n">
        <v>80</v>
      </c>
    </row>
    <row r="10">
      <c r="A10" s="5" t="inlineStr">
        <is>
          <t>Microsoft Windows Server 2022 Standard</t>
        </is>
      </c>
      <c r="B10" s="5" t="n">
        <v>45</v>
      </c>
    </row>
    <row r="11">
      <c r="A11" s="6" t="inlineStr">
        <is>
          <t>Microsoft Windows Server 2019 Standard</t>
        </is>
      </c>
      <c r="B11" s="6" t="n">
        <v>30</v>
      </c>
    </row>
    <row r="13">
      <c r="A13" s="3" t="inlineStr">
        <is>
          <t>Feature Update Distribution</t>
        </is>
      </c>
    </row>
    <row r="14">
      <c r="A14" s="4" t="inlineStr">
        <is>
          <t>Operating System</t>
        </is>
      </c>
      <c r="B14" s="4" t="inlineStr">
        <is>
          <t>Feature Update</t>
        </is>
      </c>
      <c r="C14" s="4" t="inlineStr">
        <is>
          <t>Build Number</t>
        </is>
      </c>
      <c r="D14" s="4" t="inlineStr">
        <is>
          <t>Device Count</t>
        </is>
      </c>
    </row>
    <row r="15">
      <c r="A15" s="6" t="inlineStr">
        <is>
          <t>Microsoft Windows 11 Enterprise</t>
        </is>
      </c>
      <c r="B15" s="6" t="inlineStr">
        <is>
          <t>24H2</t>
        </is>
      </c>
      <c r="C15" s="6" t="inlineStr">
        <is>
          <t>26100</t>
        </is>
      </c>
      <c r="D15" s="6" t="n">
        <v>280</v>
      </c>
    </row>
    <row r="16">
      <c r="A16" s="5" t="inlineStr">
        <is>
          <t>Microsoft Windows 11 Enterprise</t>
        </is>
      </c>
      <c r="B16" s="5" t="inlineStr">
        <is>
          <t>23H2</t>
        </is>
      </c>
      <c r="C16" s="5" t="inlineStr">
        <is>
          <t>22631</t>
        </is>
      </c>
      <c r="D16" s="5" t="n">
        <v>170</v>
      </c>
    </row>
    <row r="17">
      <c r="A17" s="6" t="inlineStr">
        <is>
          <t>Microsoft Windows 10 Enterprise</t>
        </is>
      </c>
      <c r="B17" s="6" t="inlineStr">
        <is>
          <t>22H2</t>
        </is>
      </c>
      <c r="C17" s="6" t="inlineStr">
        <is>
          <t>19045</t>
        </is>
      </c>
      <c r="D17" s="6" t="n">
        <v>320</v>
      </c>
    </row>
    <row r="18">
      <c r="A18" s="5" t="inlineStr">
        <is>
          <t>Microsoft Windows 11 Pro</t>
        </is>
      </c>
      <c r="B18" s="5" t="inlineStr">
        <is>
          <t>24H2</t>
        </is>
      </c>
      <c r="C18" s="5" t="inlineStr">
        <is>
          <t>26100</t>
        </is>
      </c>
      <c r="D18" s="5" t="n">
        <v>100</v>
      </c>
    </row>
    <row r="19">
      <c r="A19" s="6" t="inlineStr">
        <is>
          <t>Microsoft Windows 11 Pro</t>
        </is>
      </c>
      <c r="B19" s="6" t="inlineStr">
        <is>
          <t>23H2</t>
        </is>
      </c>
      <c r="C19" s="6" t="inlineStr">
        <is>
          <t>22631</t>
        </is>
      </c>
      <c r="D19" s="6" t="n">
        <v>50</v>
      </c>
    </row>
    <row r="20">
      <c r="A20" s="5" t="inlineStr">
        <is>
          <t>Microsoft Windows 10 Pro</t>
        </is>
      </c>
      <c r="B20" s="5" t="inlineStr">
        <is>
          <t>22H2</t>
        </is>
      </c>
      <c r="C20" s="5" t="inlineStr">
        <is>
          <t>19045</t>
        </is>
      </c>
      <c r="D20" s="5" t="n">
        <v>80</v>
      </c>
    </row>
  </sheetData>
  <mergeCells count="2">
    <mergeCell ref="A1:J1"/>
    <mergeCell ref="A2:J2"/>
  </mergeCells>
  <pageMargins left="0.75" right="0.75" top="1" bottom="1" header="0.5" footer="0.5"/>
  <drawing xmlns:r="http://schemas.openxmlformats.org/officeDocument/2006/relationships" r:id="rId1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1" customWidth="1" min="3" max="3"/>
    <col width="16" customWidth="1" min="4" max="4"/>
  </cols>
  <sheetData>
    <row r="1" ht="35" customHeight="1">
      <c r="A1" s="1" t="inlineStr">
        <is>
          <t>Hardware Inventory Dashboard</t>
        </is>
      </c>
    </row>
    <row r="2" ht="22" customHeight="1">
      <c r="A2" s="2" t="inlineStr">
        <is>
          <t>Memory capacity and device model distribution</t>
        </is>
      </c>
    </row>
    <row r="4">
      <c r="A4" s="3" t="inlineStr">
        <is>
          <t>Memory Distribution</t>
        </is>
      </c>
    </row>
    <row r="5">
      <c r="A5" s="4" t="inlineStr">
        <is>
          <t>RAM (GB)</t>
        </is>
      </c>
      <c r="B5" s="4" t="inlineStr">
        <is>
          <t>Device Count</t>
        </is>
      </c>
    </row>
    <row r="6">
      <c r="A6" s="5" t="n">
        <v>4</v>
      </c>
      <c r="B6" s="5" t="n">
        <v>25</v>
      </c>
    </row>
    <row r="7">
      <c r="A7" s="6" t="n">
        <v>8</v>
      </c>
      <c r="B7" s="6" t="n">
        <v>180</v>
      </c>
    </row>
    <row r="8">
      <c r="A8" s="5" t="n">
        <v>16</v>
      </c>
      <c r="B8" s="5" t="n">
        <v>450</v>
      </c>
    </row>
    <row r="9">
      <c r="A9" s="6" t="n">
        <v>32</v>
      </c>
      <c r="B9" s="6" t="n">
        <v>280</v>
      </c>
    </row>
    <row r="10">
      <c r="A10" s="5" t="n">
        <v>64</v>
      </c>
      <c r="B10" s="5" t="n">
        <v>65</v>
      </c>
    </row>
    <row r="12">
      <c r="A12" s="3" t="inlineStr">
        <is>
          <t>Top Device Models</t>
        </is>
      </c>
    </row>
    <row r="13">
      <c r="A13" s="4" t="inlineStr">
        <is>
          <t>Manufacturer</t>
        </is>
      </c>
      <c r="B13" s="4" t="inlineStr">
        <is>
          <t>Model</t>
        </is>
      </c>
      <c r="C13" s="4" t="inlineStr">
        <is>
          <t>Chassis Type</t>
        </is>
      </c>
      <c r="D13" s="4" t="inlineStr">
        <is>
          <t>Device Count</t>
        </is>
      </c>
    </row>
    <row r="14">
      <c r="A14" s="5" t="inlineStr">
        <is>
          <t>Dell Inc.</t>
        </is>
      </c>
      <c r="B14" s="5" t="inlineStr">
        <is>
          <t>Latitude 5540</t>
        </is>
      </c>
      <c r="C14" s="5" t="inlineStr">
        <is>
          <t>Laptop</t>
        </is>
      </c>
      <c r="D14" s="5" t="n">
        <v>145</v>
      </c>
    </row>
    <row r="15">
      <c r="A15" s="6" t="inlineStr">
        <is>
          <t>Dell Inc.</t>
        </is>
      </c>
      <c r="B15" s="6" t="inlineStr">
        <is>
          <t>OptiPlex 7090</t>
        </is>
      </c>
      <c r="C15" s="6" t="inlineStr">
        <is>
          <t>Desktop</t>
        </is>
      </c>
      <c r="D15" s="6" t="n">
        <v>130</v>
      </c>
    </row>
    <row r="16">
      <c r="A16" s="5" t="inlineStr">
        <is>
          <t>Lenovo</t>
        </is>
      </c>
      <c r="B16" s="5" t="inlineStr">
        <is>
          <t>ThinkPad T14 Gen 4</t>
        </is>
      </c>
      <c r="C16" s="5" t="inlineStr">
        <is>
          <t>Notebook</t>
        </is>
      </c>
      <c r="D16" s="5" t="n">
        <v>115</v>
      </c>
    </row>
    <row r="17">
      <c r="A17" s="6" t="inlineStr">
        <is>
          <t>HP</t>
        </is>
      </c>
      <c r="B17" s="6" t="inlineStr">
        <is>
          <t>EliteBook 840 G10</t>
        </is>
      </c>
      <c r="C17" s="6" t="inlineStr">
        <is>
          <t>Notebook</t>
        </is>
      </c>
      <c r="D17" s="6" t="n">
        <v>95</v>
      </c>
    </row>
    <row r="18">
      <c r="A18" s="5" t="inlineStr">
        <is>
          <t>Dell Inc.</t>
        </is>
      </c>
      <c r="B18" s="5" t="inlineStr">
        <is>
          <t>Latitude 7440</t>
        </is>
      </c>
      <c r="C18" s="5" t="inlineStr">
        <is>
          <t>Laptop</t>
        </is>
      </c>
      <c r="D18" s="5" t="n">
        <v>85</v>
      </c>
    </row>
    <row r="19">
      <c r="A19" s="6" t="inlineStr">
        <is>
          <t>Lenovo</t>
        </is>
      </c>
      <c r="B19" s="6" t="inlineStr">
        <is>
          <t>ThinkCentre M90q</t>
        </is>
      </c>
      <c r="C19" s="6" t="inlineStr">
        <is>
          <t>Desktop</t>
        </is>
      </c>
      <c r="D19" s="6" t="n">
        <v>70</v>
      </c>
    </row>
    <row r="20">
      <c r="A20" s="5" t="inlineStr">
        <is>
          <t>Microsoft Corporation</t>
        </is>
      </c>
      <c r="B20" s="5" t="inlineStr">
        <is>
          <t>Virtual Machine</t>
        </is>
      </c>
      <c r="C20" s="5" t="inlineStr">
        <is>
          <t>Other</t>
        </is>
      </c>
      <c r="D20" s="5" t="n">
        <v>60</v>
      </c>
    </row>
    <row r="21">
      <c r="A21" s="6" t="inlineStr">
        <is>
          <t>HP</t>
        </is>
      </c>
      <c r="B21" s="6" t="inlineStr">
        <is>
          <t>ProDesk 400 G7</t>
        </is>
      </c>
      <c r="C21" s="6" t="inlineStr">
        <is>
          <t>Small Form Factor</t>
        </is>
      </c>
      <c r="D21" s="6" t="n">
        <v>55</v>
      </c>
    </row>
  </sheetData>
  <mergeCells count="2">
    <mergeCell ref="A1:J1"/>
    <mergeCell ref="A2:J2"/>
  </mergeCells>
  <pageMargins left="0.75" right="0.75" top="1" bottom="1" header="0.5" footer="0.5"/>
  <drawing xmlns:r="http://schemas.openxmlformats.org/officeDocument/2006/relationships" r:id="rId1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</cols>
  <sheetData>
    <row r="1" ht="35" customHeight="1">
      <c r="A1" s="1" t="inlineStr">
        <is>
          <t>Client Health Dashboard</t>
        </is>
      </c>
    </row>
    <row r="2" ht="22" customHeight="1">
      <c r="A2" s="2" t="inlineStr">
        <is>
          <t>MECM client version distribution and health status</t>
        </is>
      </c>
    </row>
    <row r="4">
      <c r="A4" s="3" t="inlineStr">
        <is>
          <t>Client Version Distribution</t>
        </is>
      </c>
    </row>
    <row r="5">
      <c r="A5" s="4" t="inlineStr">
        <is>
          <t>Client Version</t>
        </is>
      </c>
      <c r="B5" s="4" t="inlineStr">
        <is>
          <t>Device Count</t>
        </is>
      </c>
    </row>
    <row r="6">
      <c r="A6" s="5" t="inlineStr">
        <is>
          <t>5.00.9128.1007</t>
        </is>
      </c>
      <c r="B6" s="5" t="n">
        <v>520</v>
      </c>
    </row>
    <row r="7">
      <c r="A7" s="6" t="inlineStr">
        <is>
          <t>5.00.9122.1009</t>
        </is>
      </c>
      <c r="B7" s="6" t="n">
        <v>280</v>
      </c>
    </row>
    <row r="8">
      <c r="A8" s="5" t="inlineStr">
        <is>
          <t>5.00.9114.1012</t>
        </is>
      </c>
      <c r="B8" s="5" t="n">
        <v>120</v>
      </c>
    </row>
    <row r="9">
      <c r="A9" s="6" t="inlineStr">
        <is>
          <t>5.00.9106.1000</t>
        </is>
      </c>
      <c r="B9" s="6" t="n">
        <v>45</v>
      </c>
    </row>
    <row r="10">
      <c r="A10" s="5" t="inlineStr">
        <is>
          <t>No Client</t>
        </is>
      </c>
      <c r="B10" s="5" t="n">
        <v>35</v>
      </c>
    </row>
  </sheetData>
  <mergeCells count="2">
    <mergeCell ref="A1:J1"/>
    <mergeCell ref="A2:J2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3" customWidth="1" min="3" max="3"/>
    <col width="12" customWidth="1" min="4" max="4"/>
    <col width="16" customWidth="1" min="5" max="5"/>
    <col width="16" customWidth="1" min="6" max="6"/>
  </cols>
  <sheetData>
    <row r="1" ht="35" customHeight="1">
      <c r="A1" s="1" t="inlineStr">
        <is>
          <t>Software Update Compliance Dashboard</t>
        </is>
      </c>
    </row>
    <row r="2" ht="22" customHeight="1">
      <c r="A2" s="2" t="inlineStr">
        <is>
          <t>Patch compliance and deployment status across update classifications</t>
        </is>
      </c>
    </row>
    <row r="4">
      <c r="A4" s="3" t="inlineStr">
        <is>
          <t>Compliance by Classification</t>
        </is>
      </c>
    </row>
    <row r="5">
      <c r="A5" s="4" t="inlineStr">
        <is>
          <t>Classification</t>
        </is>
      </c>
      <c r="B5" s="4" t="inlineStr">
        <is>
          <t>Total Devices</t>
        </is>
      </c>
      <c r="C5" s="4" t="inlineStr">
        <is>
          <t>Required</t>
        </is>
      </c>
      <c r="D5" s="4" t="inlineStr">
        <is>
          <t>Installed</t>
        </is>
      </c>
      <c r="E5" s="4" t="inlineStr">
        <is>
          <t>Compliance %</t>
        </is>
      </c>
    </row>
    <row r="6">
      <c r="A6" s="5" t="inlineStr">
        <is>
          <t>Security Updates</t>
        </is>
      </c>
      <c r="B6" s="5" t="n">
        <v>1000</v>
      </c>
      <c r="C6" s="5" t="n">
        <v>150</v>
      </c>
      <c r="D6" s="5" t="n">
        <v>850</v>
      </c>
      <c r="E6" s="5" t="n">
        <v>85</v>
      </c>
    </row>
    <row r="7">
      <c r="A7" s="6" t="inlineStr">
        <is>
          <t>Critical Updates</t>
        </is>
      </c>
      <c r="B7" s="6" t="n">
        <v>1000</v>
      </c>
      <c r="C7" s="6" t="n">
        <v>50</v>
      </c>
      <c r="D7" s="6" t="n">
        <v>950</v>
      </c>
      <c r="E7" s="6" t="n">
        <v>95</v>
      </c>
    </row>
    <row r="8">
      <c r="A8" s="5" t="inlineStr">
        <is>
          <t>Definition Updates</t>
        </is>
      </c>
      <c r="B8" s="5" t="n">
        <v>1000</v>
      </c>
      <c r="C8" s="5" t="n">
        <v>200</v>
      </c>
      <c r="D8" s="5" t="n">
        <v>800</v>
      </c>
      <c r="E8" s="5" t="n">
        <v>80</v>
      </c>
    </row>
    <row r="9">
      <c r="A9" s="6" t="inlineStr">
        <is>
          <t>Update Rollups</t>
        </is>
      </c>
      <c r="B9" s="6" t="n">
        <v>1000</v>
      </c>
      <c r="C9" s="6" t="n">
        <v>100</v>
      </c>
      <c r="D9" s="6" t="n">
        <v>900</v>
      </c>
      <c r="E9" s="6" t="n">
        <v>90</v>
      </c>
    </row>
    <row r="10">
      <c r="A10" s="5" t="inlineStr">
        <is>
          <t>Feature Packs</t>
        </is>
      </c>
      <c r="B10" s="5" t="n">
        <v>800</v>
      </c>
      <c r="C10" s="5" t="n">
        <v>40</v>
      </c>
      <c r="D10" s="5" t="n">
        <v>760</v>
      </c>
      <c r="E10" s="5" t="n">
        <v>95</v>
      </c>
    </row>
    <row r="12">
      <c r="A12" s="3" t="inlineStr">
        <is>
          <t>Update Group Deployment Status</t>
        </is>
      </c>
    </row>
    <row r="13">
      <c r="A13" s="4" t="inlineStr">
        <is>
          <t>Update Group</t>
        </is>
      </c>
      <c r="B13" s="4" t="inlineStr">
        <is>
          <t>Targeted Devices</t>
        </is>
      </c>
      <c r="C13" s="4" t="inlineStr">
        <is>
          <t>Compliant</t>
        </is>
      </c>
      <c r="D13" s="4" t="inlineStr">
        <is>
          <t>Required</t>
        </is>
      </c>
      <c r="E13" s="4" t="inlineStr">
        <is>
          <t>Not Required</t>
        </is>
      </c>
      <c r="F13" s="4" t="inlineStr">
        <is>
          <t>Compliance %</t>
        </is>
      </c>
    </row>
    <row r="14">
      <c r="A14" s="5" t="inlineStr">
        <is>
          <t>2026-01 Security Updates</t>
        </is>
      </c>
      <c r="B14" s="5" t="n">
        <v>1000</v>
      </c>
      <c r="C14" s="5" t="n">
        <v>920</v>
      </c>
      <c r="D14" s="5" t="n">
        <v>50</v>
      </c>
      <c r="E14" s="5" t="n">
        <v>30</v>
      </c>
      <c r="F14" s="5" t="n">
        <v>92</v>
      </c>
    </row>
    <row r="15">
      <c r="A15" s="6" t="inlineStr">
        <is>
          <t>2026-02 Security Updates</t>
        </is>
      </c>
      <c r="B15" s="6" t="n">
        <v>1000</v>
      </c>
      <c r="C15" s="6" t="n">
        <v>750</v>
      </c>
      <c r="D15" s="6" t="n">
        <v>200</v>
      </c>
      <c r="E15" s="6" t="n">
        <v>50</v>
      </c>
      <c r="F15" s="6" t="n">
        <v>75</v>
      </c>
    </row>
    <row r="16">
      <c r="A16" s="5" t="inlineStr">
        <is>
          <t>.NET Framework Updates</t>
        </is>
      </c>
      <c r="B16" s="5" t="n">
        <v>800</v>
      </c>
      <c r="C16" s="5" t="n">
        <v>780</v>
      </c>
      <c r="D16" s="5" t="n">
        <v>10</v>
      </c>
      <c r="E16" s="5" t="n">
        <v>10</v>
      </c>
      <c r="F16" s="5" t="n">
        <v>97.5</v>
      </c>
    </row>
    <row r="17">
      <c r="A17" s="6" t="inlineStr">
        <is>
          <t>Microsoft 365 Updates</t>
        </is>
      </c>
      <c r="B17" s="6" t="n">
        <v>900</v>
      </c>
      <c r="C17" s="6" t="n">
        <v>810</v>
      </c>
      <c r="D17" s="6" t="n">
        <v>60</v>
      </c>
      <c r="E17" s="6" t="n">
        <v>30</v>
      </c>
      <c r="F17" s="6" t="n">
        <v>90</v>
      </c>
    </row>
  </sheetData>
  <mergeCells count="2">
    <mergeCell ref="A1:J1"/>
    <mergeCell ref="A2:J2"/>
  </mergeCells>
  <pageMargins left="0.75" right="0.75" top="1" bottom="1" header="0.5" footer="0.5"/>
  <drawing xmlns:r="http://schemas.openxmlformats.org/officeDocument/2006/relationships" r:id="rId1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</cols>
  <sheetData>
    <row r="1" ht="35" customHeight="1">
      <c r="A1" s="1" t="inlineStr">
        <is>
          <t>Security Dashboard</t>
        </is>
      </c>
    </row>
    <row r="2" ht="22" customHeight="1">
      <c r="A2" s="2" t="inlineStr">
        <is>
          <t>BitLocker, Secure Boot, TPM, and Defender protection status</t>
        </is>
      </c>
    </row>
    <row r="4">
      <c r="A4" s="3" t="inlineStr">
        <is>
          <t>BitLocker Protection Status</t>
        </is>
      </c>
    </row>
    <row r="5">
      <c r="A5" s="4" t="inlineStr">
        <is>
          <t>Protection Status</t>
        </is>
      </c>
      <c r="B5" s="4" t="inlineStr">
        <is>
          <t>Device Count</t>
        </is>
      </c>
    </row>
    <row r="6">
      <c r="A6" s="5" t="inlineStr">
        <is>
          <t>Protection On</t>
        </is>
      </c>
      <c r="B6" s="5" t="n">
        <v>820</v>
      </c>
    </row>
    <row r="7">
      <c r="A7" s="6" t="inlineStr">
        <is>
          <t>Protection Off</t>
        </is>
      </c>
      <c r="B7" s="6" t="n">
        <v>130</v>
      </c>
    </row>
    <row r="8">
      <c r="A8" s="5" t="inlineStr">
        <is>
          <t>Unknown</t>
        </is>
      </c>
      <c r="B8" s="5" t="n">
        <v>50</v>
      </c>
    </row>
    <row r="10">
      <c r="A10" s="3" t="inlineStr">
        <is>
          <t>Secure Boot Status</t>
        </is>
      </c>
    </row>
    <row r="11">
      <c r="A11" s="4" t="inlineStr">
        <is>
          <t>Secure Boot Status</t>
        </is>
      </c>
      <c r="B11" s="4" t="inlineStr">
        <is>
          <t>Device Count</t>
        </is>
      </c>
    </row>
    <row r="12">
      <c r="A12" s="5" t="inlineStr">
        <is>
          <t>Enabled</t>
        </is>
      </c>
      <c r="B12" s="5" t="n">
        <v>850</v>
      </c>
    </row>
    <row r="13">
      <c r="A13" s="6" t="inlineStr">
        <is>
          <t>Disabled</t>
        </is>
      </c>
      <c r="B13" s="6" t="n">
        <v>100</v>
      </c>
    </row>
    <row r="14">
      <c r="A14" s="5" t="inlineStr">
        <is>
          <t>Unknown</t>
        </is>
      </c>
      <c r="B14" s="5" t="n">
        <v>50</v>
      </c>
    </row>
    <row r="16">
      <c r="A16" s="3" t="inlineStr">
        <is>
          <t>Defender Real-Time Protection</t>
        </is>
      </c>
    </row>
    <row r="17">
      <c r="A17" s="4" t="inlineStr">
        <is>
          <t>Real-Time Protection</t>
        </is>
      </c>
      <c r="B17" s="4" t="inlineStr">
        <is>
          <t>Device Count</t>
        </is>
      </c>
    </row>
    <row r="18">
      <c r="A18" s="5" t="inlineStr">
        <is>
          <t>Enabled</t>
        </is>
      </c>
      <c r="B18" s="5" t="n">
        <v>940</v>
      </c>
    </row>
    <row r="19">
      <c r="A19" s="6" t="inlineStr">
        <is>
          <t>Disabled</t>
        </is>
      </c>
      <c r="B19" s="6" t="n">
        <v>35</v>
      </c>
    </row>
    <row r="20">
      <c r="A20" s="5" t="inlineStr">
        <is>
          <t>Unknown</t>
        </is>
      </c>
      <c r="B20" s="5" t="n">
        <v>25</v>
      </c>
    </row>
    <row r="22">
      <c r="A22" s="3" t="inlineStr">
        <is>
          <t>TPM Activation Status</t>
        </is>
      </c>
    </row>
    <row r="23">
      <c r="A23" s="4" t="inlineStr">
        <is>
          <t>TPM Status</t>
        </is>
      </c>
      <c r="B23" s="4" t="inlineStr">
        <is>
          <t>Device Count</t>
        </is>
      </c>
    </row>
    <row r="24">
      <c r="A24" s="5" t="inlineStr">
        <is>
          <t>Activated</t>
        </is>
      </c>
      <c r="B24" s="5" t="n">
        <v>900</v>
      </c>
    </row>
    <row r="25">
      <c r="A25" s="6" t="inlineStr">
        <is>
          <t>Not Activated</t>
        </is>
      </c>
      <c r="B25" s="6" t="n">
        <v>60</v>
      </c>
    </row>
    <row r="26">
      <c r="A26" s="5" t="inlineStr">
        <is>
          <t>Unknown</t>
        </is>
      </c>
      <c r="B26" s="5" t="n">
        <v>40</v>
      </c>
    </row>
  </sheetData>
  <mergeCells count="2">
    <mergeCell ref="A1:J1"/>
    <mergeCell ref="A2:J2"/>
  </mergeCells>
  <pageMargins left="0.75" right="0.75" top="1" bottom="1" header="0.5" footer="0.5"/>
  <drawing xmlns:r="http://schemas.openxmlformats.org/officeDocument/2006/relationships" r:id="rId1"/>
  <tableParts count="4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6.xml><?xml version="1.0" encoding="utf-8"?>
<worksheet xmlns="http://schemas.openxmlformats.org/spreadsheetml/2006/main">
  <sheetPr>
    <tabColor rgb="009B57A1"/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21" customWidth="1" min="3" max="3"/>
    <col width="18" customWidth="1" min="4" max="4"/>
    <col width="11" customWidth="1" min="5" max="5"/>
    <col width="15" customWidth="1" min="6" max="6"/>
    <col width="10" customWidth="1" min="7" max="7"/>
    <col width="18" customWidth="1" min="8" max="8"/>
  </cols>
  <sheetData>
    <row r="1" ht="35" customHeight="1">
      <c r="A1" s="1" t="inlineStr">
        <is>
          <t>Application Deployment Dashboard</t>
        </is>
      </c>
    </row>
    <row r="2" ht="22" customHeight="1">
      <c r="A2" s="2" t="inlineStr">
        <is>
          <t>Deployment summary and per-application success rates</t>
        </is>
      </c>
    </row>
    <row r="4">
      <c r="A4" s="3" t="inlineStr">
        <is>
          <t>Overall Deployment Summary</t>
        </is>
      </c>
    </row>
    <row r="5">
      <c r="A5" s="4" t="inlineStr">
        <is>
          <t>Metric</t>
        </is>
      </c>
      <c r="B5" s="4" t="inlineStr">
        <is>
          <t>Count</t>
        </is>
      </c>
    </row>
    <row r="6">
      <c r="A6" s="5" t="inlineStr">
        <is>
          <t>Successful</t>
        </is>
      </c>
      <c r="B6" s="5" t="n">
        <v>8500</v>
      </c>
    </row>
    <row r="7">
      <c r="A7" s="6" t="inlineStr">
        <is>
          <t>Failed</t>
        </is>
      </c>
      <c r="B7" s="6" t="n">
        <v>320</v>
      </c>
    </row>
    <row r="8">
      <c r="A8" s="5" t="inlineStr">
        <is>
          <t>In Progress</t>
        </is>
      </c>
      <c r="B8" s="5" t="n">
        <v>180</v>
      </c>
    </row>
    <row r="10">
      <c r="A10" s="3" t="inlineStr">
        <is>
          <t>Application Deployment Status</t>
        </is>
      </c>
    </row>
    <row r="11">
      <c r="A11" s="4" t="inlineStr">
        <is>
          <t>Application Name</t>
        </is>
      </c>
      <c r="B11" s="4" t="inlineStr">
        <is>
          <t>Manufacturer</t>
        </is>
      </c>
      <c r="C11" s="4" t="inlineStr">
        <is>
          <t>Target Collection</t>
        </is>
      </c>
      <c r="D11" s="4" t="inlineStr">
        <is>
          <t>Total Targeted</t>
        </is>
      </c>
      <c r="E11" s="4" t="inlineStr">
        <is>
          <t>Success</t>
        </is>
      </c>
      <c r="F11" s="4" t="inlineStr">
        <is>
          <t>In Progress</t>
        </is>
      </c>
      <c r="G11" s="4" t="inlineStr">
        <is>
          <t>Errors</t>
        </is>
      </c>
      <c r="H11" s="4" t="inlineStr">
        <is>
          <t>Success Rate %</t>
        </is>
      </c>
    </row>
    <row r="12">
      <c r="A12" s="5" t="inlineStr">
        <is>
          <t>Microsoft 365 Apps</t>
        </is>
      </c>
      <c r="B12" s="5" t="inlineStr">
        <is>
          <t>Microsoft</t>
        </is>
      </c>
      <c r="C12" s="5" t="inlineStr">
        <is>
          <t>All Workstations</t>
        </is>
      </c>
      <c r="D12" s="5" t="n">
        <v>1000</v>
      </c>
      <c r="E12" s="5" t="n">
        <v>950</v>
      </c>
      <c r="F12" s="5" t="n">
        <v>20</v>
      </c>
      <c r="G12" s="5" t="n">
        <v>30</v>
      </c>
      <c r="H12" s="5" t="n">
        <v>95</v>
      </c>
    </row>
    <row r="13">
      <c r="A13" s="6" t="inlineStr">
        <is>
          <t>Google Chrome</t>
        </is>
      </c>
      <c r="B13" s="6" t="inlineStr">
        <is>
          <t>Google</t>
        </is>
      </c>
      <c r="C13" s="6" t="inlineStr">
        <is>
          <t>All Workstations</t>
        </is>
      </c>
      <c r="D13" s="6" t="n">
        <v>1000</v>
      </c>
      <c r="E13" s="6" t="n">
        <v>980</v>
      </c>
      <c r="F13" s="6" t="n">
        <v>10</v>
      </c>
      <c r="G13" s="6" t="n">
        <v>10</v>
      </c>
      <c r="H13" s="6" t="n">
        <v>98</v>
      </c>
    </row>
    <row r="14">
      <c r="A14" s="5" t="inlineStr">
        <is>
          <t>Adobe Acrobat Reader</t>
        </is>
      </c>
      <c r="B14" s="5" t="inlineStr">
        <is>
          <t>Adobe</t>
        </is>
      </c>
      <c r="C14" s="5" t="inlineStr">
        <is>
          <t>All Workstations</t>
        </is>
      </c>
      <c r="D14" s="5" t="n">
        <v>800</v>
      </c>
      <c r="E14" s="5" t="n">
        <v>750</v>
      </c>
      <c r="F14" s="5" t="n">
        <v>25</v>
      </c>
      <c r="G14" s="5" t="n">
        <v>25</v>
      </c>
      <c r="H14" s="5" t="n">
        <v>93.8</v>
      </c>
    </row>
    <row r="15">
      <c r="A15" s="6" t="inlineStr">
        <is>
          <t>Zoom Workplace</t>
        </is>
      </c>
      <c r="B15" s="6" t="inlineStr">
        <is>
          <t>Zoom</t>
        </is>
      </c>
      <c r="C15" s="6" t="inlineStr">
        <is>
          <t>All Workstations</t>
        </is>
      </c>
      <c r="D15" s="6" t="n">
        <v>900</v>
      </c>
      <c r="E15" s="6" t="n">
        <v>860</v>
      </c>
      <c r="F15" s="6" t="n">
        <v>15</v>
      </c>
      <c r="G15" s="6" t="n">
        <v>25</v>
      </c>
      <c r="H15" s="6" t="n">
        <v>95.59999999999999</v>
      </c>
    </row>
    <row r="16">
      <c r="A16" s="5" t="inlineStr">
        <is>
          <t>7-Zip</t>
        </is>
      </c>
      <c r="B16" s="5" t="inlineStr">
        <is>
          <t>Igor Pavlov</t>
        </is>
      </c>
      <c r="C16" s="5" t="inlineStr">
        <is>
          <t>All Workstations</t>
        </is>
      </c>
      <c r="D16" s="5" t="n">
        <v>700</v>
      </c>
      <c r="E16" s="5" t="n">
        <v>695</v>
      </c>
      <c r="F16" s="5" t="n">
        <v>0</v>
      </c>
      <c r="G16" s="5" t="n">
        <v>5</v>
      </c>
      <c r="H16" s="5" t="n">
        <v>99.3</v>
      </c>
    </row>
    <row r="17">
      <c r="A17" s="6" t="inlineStr">
        <is>
          <t>Notepad++</t>
        </is>
      </c>
      <c r="B17" s="6" t="inlineStr">
        <is>
          <t>Don Ho</t>
        </is>
      </c>
      <c r="C17" s="6" t="inlineStr">
        <is>
          <t>Developer PCs</t>
        </is>
      </c>
      <c r="D17" s="6" t="n">
        <v>200</v>
      </c>
      <c r="E17" s="6" t="n">
        <v>195</v>
      </c>
      <c r="F17" s="6" t="n">
        <v>3</v>
      </c>
      <c r="G17" s="6" t="n">
        <v>2</v>
      </c>
      <c r="H17" s="6" t="n">
        <v>97.5</v>
      </c>
    </row>
  </sheetData>
  <mergeCells count="2">
    <mergeCell ref="A1:J1"/>
    <mergeCell ref="A2:J2"/>
  </mergeCells>
  <pageMargins left="0.75" right="0.75" top="1" bottom="1" header="0.5" footer="0.5"/>
  <drawing xmlns:r="http://schemas.openxmlformats.org/officeDocument/2006/relationships" r:id="rId1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7.xml><?xml version="1.0" encoding="utf-8"?>
<worksheet xmlns="http://schemas.openxmlformats.org/spreadsheetml/2006/main">
  <sheetPr>
    <tabColor rgb="0044546A"/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6" customWidth="1" min="3" max="3"/>
    <col width="16" customWidth="1" min="4" max="4"/>
  </cols>
  <sheetData>
    <row r="1" ht="35" customHeight="1">
      <c r="A1" s="1" t="inlineStr">
        <is>
          <t>Server Dashboard</t>
        </is>
      </c>
    </row>
    <row r="2" ht="22" customHeight="1">
      <c r="A2" s="2" t="inlineStr">
        <is>
          <t>Windows Server OS version distribution</t>
        </is>
      </c>
    </row>
    <row r="4">
      <c r="A4" s="3" t="inlineStr">
        <is>
          <t>Server OS Distribution</t>
        </is>
      </c>
    </row>
    <row r="5">
      <c r="A5" s="4" t="inlineStr">
        <is>
          <t>Operating System</t>
        </is>
      </c>
      <c r="B5" s="4" t="inlineStr">
        <is>
          <t>Server Version</t>
        </is>
      </c>
      <c r="C5" s="4" t="inlineStr">
        <is>
          <t>Build Number</t>
        </is>
      </c>
      <c r="D5" s="4" t="inlineStr">
        <is>
          <t>Server Count</t>
        </is>
      </c>
    </row>
    <row r="6">
      <c r="A6" s="5" t="inlineStr">
        <is>
          <t>Microsoft Windows Server 2022 Standard</t>
        </is>
      </c>
      <c r="B6" s="5" t="inlineStr">
        <is>
          <t>Server 2022</t>
        </is>
      </c>
      <c r="C6" s="5" t="inlineStr">
        <is>
          <t>20348</t>
        </is>
      </c>
      <c r="D6" s="5" t="n">
        <v>35</v>
      </c>
    </row>
    <row r="7">
      <c r="A7" s="6" t="inlineStr">
        <is>
          <t>Microsoft Windows Server 2019 Standard</t>
        </is>
      </c>
      <c r="B7" s="6" t="inlineStr">
        <is>
          <t>Server 2019</t>
        </is>
      </c>
      <c r="C7" s="6" t="inlineStr">
        <is>
          <t>17763</t>
        </is>
      </c>
      <c r="D7" s="6" t="n">
        <v>28</v>
      </c>
    </row>
    <row r="8">
      <c r="A8" s="5" t="inlineStr">
        <is>
          <t>Microsoft Windows Server 2022 Datacenter</t>
        </is>
      </c>
      <c r="B8" s="5" t="inlineStr">
        <is>
          <t>Server 2022</t>
        </is>
      </c>
      <c r="C8" s="5" t="inlineStr">
        <is>
          <t>20348</t>
        </is>
      </c>
      <c r="D8" s="5" t="n">
        <v>12</v>
      </c>
    </row>
    <row r="9">
      <c r="A9" s="6" t="inlineStr">
        <is>
          <t>Microsoft Windows Server 2016 Standard</t>
        </is>
      </c>
      <c r="B9" s="6" t="inlineStr">
        <is>
          <t>Server 2016</t>
        </is>
      </c>
      <c r="C9" s="6" t="inlineStr">
        <is>
          <t>14393</t>
        </is>
      </c>
      <c r="D9" s="6" t="n">
        <v>10</v>
      </c>
    </row>
    <row r="10">
      <c r="A10" s="5" t="inlineStr">
        <is>
          <t>Microsoft Windows Server 2019 Datacenter</t>
        </is>
      </c>
      <c r="B10" s="5" t="inlineStr">
        <is>
          <t>Server 2019</t>
        </is>
      </c>
      <c r="C10" s="5" t="inlineStr">
        <is>
          <t>17763</t>
        </is>
      </c>
      <c r="D10" s="5" t="n">
        <v>8</v>
      </c>
    </row>
    <row r="11">
      <c r="A11" s="6" t="inlineStr">
        <is>
          <t>Microsoft Windows Server 2012 R2 Standard</t>
        </is>
      </c>
      <c r="B11" s="6" t="inlineStr">
        <is>
          <t>Server 2012 R2</t>
        </is>
      </c>
      <c r="C11" s="6" t="inlineStr">
        <is>
          <t>9600</t>
        </is>
      </c>
      <c r="D11" s="6" t="n">
        <v>5</v>
      </c>
    </row>
  </sheetData>
  <mergeCells count="2">
    <mergeCell ref="A1:J1"/>
    <mergeCell ref="A2:J2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tabColor rgb="00808080"/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0" customWidth="1" min="3" max="3"/>
  </cols>
  <sheetData>
    <row r="1" ht="35" customHeight="1">
      <c r="A1" s="1" t="inlineStr">
        <is>
          <t>SQL Queries Reference</t>
        </is>
      </c>
    </row>
    <row r="2" ht="22" customHeight="1">
      <c r="A2" s="2" t="inlineStr">
        <is>
          <t>All queries used by this dashboard workbook</t>
        </is>
      </c>
    </row>
    <row r="4">
      <c r="A4" s="3" t="inlineStr">
        <is>
          <t>Query Index</t>
        </is>
      </c>
    </row>
    <row r="5">
      <c r="A5" s="7" t="inlineStr">
        <is>
          <t>Query Name</t>
        </is>
      </c>
      <c r="B5" s="7" t="inlineStr">
        <is>
          <t>Source File</t>
        </is>
      </c>
      <c r="C5" s="7" t="inlineStr">
        <is>
          <t>SQL Query</t>
        </is>
      </c>
    </row>
    <row r="6" ht="130" customHeight="1">
      <c r="A6" s="8" t="inlineStr">
        <is>
          <t>OS Count Summary</t>
        </is>
      </c>
      <c r="B6" s="8" t="inlineStr">
        <is>
          <t>Operating-Systems/OS_Count_Summary.sql</t>
        </is>
      </c>
      <c r="C6" s="9" t="inlineStr">
        <is>
          <t>SELECT
    os.Caption0 AS [Operating System],
    COUNT(*) AS [Device Count]
FROM v_R_System_Valid sys
INNER JOIN v_GS_OPERATING_SYSTEM os
    ON sys.ResourceID = os.ResourceID
WHERE os.Caption0 LIKE '%Windows%'
GROUP BY os.Caption0
ORDER BY [Device Count] DESC</t>
        </is>
      </c>
    </row>
    <row r="7" ht="392" customHeight="1">
      <c r="A7" s="8" t="inlineStr">
        <is>
          <t>OS Feature Update Counts</t>
        </is>
      </c>
      <c r="B7" s="8" t="inlineStr">
        <is>
          <t>Operating-Systems/OS_FeatureUpdate_Counts.sql</t>
        </is>
      </c>
      <c r="C7" s="9" t="inlineStr">
        <is>
          <t>SELECT
    os.Caption0 AS [Operating System],
    CASE os.BuildNumber0
        -- Windows 10 builds
        WHEN '19041' THEN '2004'
        WHEN '19042' THEN '20H2'
        WHEN '19043' THEN '21H1'
        WHEN '19044' THEN '21H2'
        WHEN '19045' THEN '22H2'
        -- Windows 11 builds
        WHEN '22000' THEN '21H2'
        WHEN '22621' THEN '22H2'
        WHEN '22631' THEN '23H2'
        WHEN '26100' THEN '24H2'
        ELSE os.BuildNumber0
    END AS [Feature Update],
    os.BuildNumber0 AS [Build Number],
    COUNT(*) AS [Device Count]
FROM v_R_System_Valid sys
INNER JOIN v_GS_OPERATING_SYSTEM os
    ON sys.ResourceID = os.ResourceID
WHERE os.Caption0 LIKE '%Windows%'
GROUP BY
    os.Caption0,
    os.BuildNumber0
ORDER BY
    os.Caption0,
    os.BuildNumber0 DESC</t>
        </is>
      </c>
    </row>
    <row r="8" ht="160" customHeight="1">
      <c r="A8" s="8" t="inlineStr">
        <is>
          <t>Memory Summary</t>
        </is>
      </c>
      <c r="B8" s="8" t="inlineStr">
        <is>
          <t>Hardware-Inventory/Memory_Summary.sql</t>
        </is>
      </c>
      <c r="C8" s="9" t="inlineStr">
        <is>
          <t>SELECT
    CAST(ROUND(mem.TotalPhysicalMemory0 / 1024.0 / 1024.0, 0) AS INT) AS [RAM (GB)],
    COUNT(*) AS [Device Count]
FROM v_R_System_Valid sys
INNER JOIN v_GS_X86_PC_MEMORY mem
    ON sys.ResourceID = mem.ResourceID
GROUP BY CAST(ROUND(mem.TotalPhysicalMemory0 / 1024.0 / 1024.0, 0) AS INT)
ORDER BY [RAM (GB)] DESC</t>
        </is>
      </c>
    </row>
    <row r="9" ht="921" customHeight="1">
      <c r="A9" s="8" t="inlineStr">
        <is>
          <t>Device Models</t>
        </is>
      </c>
      <c r="B9" s="8" t="inlineStr">
        <is>
          <t>Hardware-Inventory/Device_Models.sql</t>
        </is>
      </c>
      <c r="C9" s="9" t="inlineStr">
        <is>
          <t>SELECT
    COALESCE(cs.Manufacturer0, 'Unknown') AS [Manufacturer],
    COALESCE(cs.Model0, 'Unknown') AS [Model],
    CASE
        WHEN enc.ChassisTypes0 = 1 THEN 'Other'
        WHEN enc.ChassisTypes0 = 2 THEN 'Unknown'
        WHEN enc.ChassisTypes0 = 3 THEN 'Desktop'
        WHEN enc.ChassisTypes0 = 4 THEN 'Low Profile Desktop'
        WHEN enc.ChassisTypes0 = 5 THEN 'Pizza Box'
        WHEN enc.ChassisTypes0 = 6 THEN 'Mini Tower'
        WHEN enc.ChassisTypes0 = 7 THEN 'Tower'
        WHEN enc.ChassisTypes0 = 8 THEN 'Portable'
        WHEN enc.ChassisTypes0 = 9 THEN 'Laptop'
        WHEN enc.ChassisTypes0 = 10 THEN 'Notebook'
        WHEN enc.ChassisTypes0 = 11 THEN 'Hand Held'
        WHEN enc.ChassisTypes0 = 12 THEN 'Docking Station'
        WHEN enc.ChassisTypes0 = 13 THEN 'All in One'
        WHEN enc.ChassisTypes0 = 14 THEN 'Sub Notebook'
        WHEN enc.ChassisTypes0 = 15 THEN 'Space-Saving'
        WHEN enc.ChassisTypes0 = 16 THEN 'Lunch Box'
        WHEN enc.ChassisTypes0 = 17 THEN 'Main System Chassis'
        WHEN enc.ChassisTypes0 = 18 THEN 'Expansion Chassis'
        WHEN enc.ChassisTypes0 = 19 THEN 'Sub Chassis'
        WHEN enc.ChassisTypes0 = 20 THEN 'Bus Expansion Chassis'
        WHEN enc.ChassisTypes0 = 21 THEN 'Peripheral Chassis'
        WHEN enc.ChassisTypes0 = 22 THEN 'Storage Chassis'
        WHEN enc.ChassisTypes0 = 23 THEN 'Rack Mount Chassis'
        WHEN enc.ChassisTypes0 = 24 THEN 'Sealed-Case PC'
        ELSE 'Unknown'
    END AS [Chassis Type],
    COUNT(*) AS [Device Count]
FROM v_R_System_Valid sys
INNER JOIN v_GS_COMPUTER_SYSTEM cs
    ON sys.ResourceID = cs.ResourceID
LEFT JOIN v_GS_SYSTEM_ENCLOSURE enc
    ON sys.ResourceID = enc.ResourceID
GROUP BY
    cs.Manufacturer0,
    cs.Model0,
    enc.ChassisTypes0
ORDER BY
    [Device Count] DESC,
    [Manufacturer],
    [Model]</t>
        </is>
      </c>
    </row>
    <row r="10" ht="94" customHeight="1">
      <c r="A10" s="8" t="inlineStr">
        <is>
          <t>Client Version</t>
        </is>
      </c>
      <c r="B10" s="8" t="inlineStr">
        <is>
          <t>Client-Health/Client_Version.sql</t>
        </is>
      </c>
      <c r="C10" s="9" t="inlineStr">
        <is>
          <t>SELECT
    COALESCE(sys.Client_Version0, 'No Client') AS [Client Version],
    COUNT(*) AS [Device Count]
FROM v_R_System_Valid sys
GROUP BY sys.Client_Version0
ORDER BY [Device Count] DESC</t>
        </is>
      </c>
    </row>
    <row r="11" ht="321" customHeight="1">
      <c r="A11" s="8" t="inlineStr">
        <is>
          <t>Update Compliance Summary</t>
        </is>
      </c>
      <c r="B11" s="8" t="inlineStr">
        <is>
          <t>Software-Updates/Update_Compliance_Summary.sql</t>
        </is>
      </c>
      <c r="C11" s="9" t="inlineStr">
        <is>
          <t>SELECT
    ui.UpdateClassification AS [Classification],
    COUNT(DISTINCT ucs.ResourceID) AS [Total Devices],
    SUM(CASE WHEN ucs.Status = 2 THEN 1 ELSE 0 END) AS [Required],
    SUM(CASE WHEN ucs.Status = 3 THEN 1 ELSE 0 END) AS [Installed],
    CAST(ROUND(
        SUM(CASE WHEN ucs.Status = 3 THEN 1 ELSE 0 END) * 100.0 /
        NULLIF(COUNT(*), 0), 1
    ) AS DECIMAL(5,1)) AS [Compliance %]
FROM v_R_System_Valid sys
INNER JOIN v_UpdateComplianceStatus ucs
    ON sys.ResourceID = ucs.ResourceID
INNER JOIN v_UpdateInfo ui
    ON ucs.CI_ID = ui.CI_ID
WHERE ui.IsDeployed = 1
GROUP BY ui.UpdateClassification
ORDER BY [Classification]</t>
        </is>
      </c>
    </row>
    <row r="12" ht="420" customHeight="1">
      <c r="A12" s="8" t="inlineStr">
        <is>
          <t>Update Deployment Status</t>
        </is>
      </c>
      <c r="B12" s="8" t="inlineStr">
        <is>
          <t>Software-Updates/Update_Deployment_Status.sql</t>
        </is>
      </c>
      <c r="C12" s="9" t="inlineStr">
        <is>
          <t>SELECT
    ali.Title AS [Update Group],
    COUNT(DISTINCT atm.ResourceID) AS [Targeted Devices],
    SUM(CASE WHEN ucs.Status = 3 THEN 1 ELSE 0 END) AS [Compliant],
    SUM(CASE WHEN ucs.Status = 2 THEN 1 ELSE 0 END) AS [Required],
    SUM(CASE WHEN ucs.Status = 1 THEN 1 ELSE 0 END) AS [Not Required],
    CAST(ROUND(
        SUM(CASE WHEN ucs.Status = 3 THEN 1 ELSE 0 END) * 100.0 /
        NULLIF(COUNT(DISTINCT atm.ResourceID), 0), 1
    ) AS DECIMAL(5,1)) AS [Compliance %]
FROM v_CIAssignment cia
INNER JOIN v_AuthListInfo ali
    ON cia.AssignedCI_UniqueID = ali.CI_UniqueID
INNER JOIN v_AssignmentTargetedMachines atm
    ON cia.AssignmentID = atm.AssignmentID
LEFT JOIN v_UpdateComplianceStatus ucs
    ON atm.ResourceID = ucs.ResourceID
WHERE cia.AssignmentType = 5  -- Software Update Group
GROUP BY ali.Title
ORDER BY ali.Title</t>
        </is>
      </c>
    </row>
    <row r="13" ht="345" customHeight="1">
      <c r="A13" s="8" t="inlineStr">
        <is>
          <t>Deployment Summary</t>
        </is>
      </c>
      <c r="B13" s="8" t="inlineStr">
        <is>
          <t>Applications/Deployment_Summary.sql</t>
        </is>
      </c>
      <c r="C13" s="9" t="inlineStr">
        <is>
          <t>SELECT
    COUNT(DISTINCT app.CI_ID) AS [Total Applications],
    COUNT(DISTINCT cia.AssignmentID) AS [Total Deployments],
    SUM(ds.NumberTotal) AS [Total Targeted Devices],
    SUM(ds.NumberSuccess) AS [Total Successful],
    SUM(ds.NumberErrors) AS [Total Failed],
    SUM(ds.NumberInProgress) AS [Total In Progress],
    CAST(ROUND(
        SUM(ds.NumberSuccess) * 100.0 / NULLIF(SUM(ds.NumberTotal), 0), 1
    ) AS DECIMAL(5,1)) AS [Overall Success Rate %]
FROM fn_ListApplicationCIs(1033) app
INNER JOIN v_CIAssignment cia
    ON app.CI_ID = cia.CI_ID
INNER JOIN v_DeploymentSummary ds
    ON cia.AssignmentID = ds.AssignmentID
WHERE cia.AssignmentType = 2  -- Application deployment</t>
        </is>
      </c>
    </row>
    <row r="14" ht="372" customHeight="1">
      <c r="A14" s="8" t="inlineStr">
        <is>
          <t>Application Deployment Status</t>
        </is>
      </c>
      <c r="B14" s="8" t="inlineStr">
        <is>
          <t>Applications/Application_Deployment_Status.sql</t>
        </is>
      </c>
      <c r="C14" s="9" t="inlineStr">
        <is>
          <t>SELECT
    app.DisplayName AS [Application Name],
    COALESCE(app.Manufacturer, 'Unknown') AS [Manufacturer],
    ds.CollectionName AS [Target Collection],
    ds.NumberTotal AS [Total Targeted],
    ds.NumberSuccess AS [Success],
    ds.NumberInProgress AS [In Progress],
    ds.NumberErrors AS [Errors],
    ds.NumberUnknown AS [Unknown],
    CAST(ROUND(
        ds.NumberSuccess * 100.0 / NULLIF(ds.NumberTotal, 0), 1
    ) AS DECIMAL(5,1)) AS [Success Rate %]
FROM fn_ListApplicationCIs(1033) app
INNER JOIN v_CIAssignment cia
    ON app.CI_ID = cia.CI_ID
INNER JOIN v_DeploymentSummary ds
    ON cia.AssignmentID = ds.AssignmentID
WHERE cia.AssignmentType = 2  -- Application deployment
ORDER BY
    app.DisplayName,
    ds.CollectionName</t>
        </is>
      </c>
    </row>
    <row r="15" ht="411" customHeight="1">
      <c r="A15" s="8" t="inlineStr">
        <is>
          <t>Server OS Versions</t>
        </is>
      </c>
      <c r="B15" s="8" t="inlineStr">
        <is>
          <t>Server/Server_OS_Versions.sql</t>
        </is>
      </c>
      <c r="C15" s="9" t="inlineStr">
        <is>
          <t>SELECT
    os.Caption0 AS [Operating System],
    CASE
        WHEN os.Caption0 LIKE '%2022%' THEN 'Server 2022'
        WHEN os.Caption0 LIKE '%2019%' THEN 'Server 2019'
        WHEN os.Caption0 LIKE '%2016%' THEN 'Server 2016'
        WHEN os.Caption0 LIKE '%2012 R2%' THEN 'Server 2012 R2'
        WHEN os.Caption0 LIKE '%2012%' THEN 'Server 2012'
        WHEN os.Caption0 LIKE '%2008 R2%' THEN 'Server 2008 R2'
        WHEN os.Caption0 LIKE '%2008%' THEN 'Server 2008'
        ELSE 'Other'
    END AS [Server Version],
    os.BuildNumber0 AS [Build Number],
    COUNT(*) AS [Server Count]
FROM v_R_System_Valid sys
INNER JOIN v_GS_OPERATING_SYSTEM os
    ON sys.ResourceID = os.ResourceID
WHERE os.Caption0 LIKE '%Server%'
GROUP BY
    os.Caption0,
    os.BuildNumber0
ORDER BY
    [Server Count] DESC,
    os.Caption0</t>
        </is>
      </c>
    </row>
    <row r="16" ht="203" customHeight="1">
      <c r="A16" s="8" t="inlineStr">
        <is>
          <t>BitLocker Protection Summary</t>
        </is>
      </c>
      <c r="B16" s="8" t="inlineStr">
        <is>
          <t>Dashboard (aggregation)</t>
        </is>
      </c>
      <c r="C16" s="9" t="inlineStr">
        <is>
          <t>SELECT
    CASE bd.ProtectionStatus0
        WHEN 0 THEN 'Protection Off'
        WHEN 1 THEN 'Protection On'
        ELSE 'Unknown'
    END AS [Protection Status],
    COUNT(DISTINCT sys.ResourceID) AS [Device Count]
FROM v_R_System_Valid sys
LEFT JOIN v_GS_BITLOCKER_DETAILS bd
    ON sys.ResourceID = bd.ResourceID
    AND bd.DriveLetter0 = 'C:'
GROUP BY bd.ProtectionStatus0
ORDER BY [Device Count] DESC</t>
        </is>
      </c>
    </row>
    <row r="17" ht="161" customHeight="1">
      <c r="A17" s="8" t="inlineStr">
        <is>
          <t>Secure Boot Summary</t>
        </is>
      </c>
      <c r="B17" s="8" t="inlineStr">
        <is>
          <t>Dashboard (aggregation)</t>
        </is>
      </c>
      <c r="C17" s="9" t="inlineStr">
        <is>
          <t>SELECT
    CASE fw.SecureBoot0
        WHEN 1 THEN 'Enabled'
        WHEN 0 THEN 'Disabled'
        ELSE 'Unknown'
    END AS [Secure Boot Status],
    COUNT(*) AS [Device Count]
FROM v_R_System_Valid sys
LEFT JOIN v_GS_FIRMWARE fw
    ON sys.ResourceID = fw.ResourceID
GROUP BY fw.SecureBoot0
ORDER BY [Device Count] DESC</t>
        </is>
      </c>
    </row>
    <row r="18" ht="186" customHeight="1">
      <c r="A18" s="8" t="inlineStr">
        <is>
          <t>Defender Real-Time Protection Summary</t>
        </is>
      </c>
      <c r="B18" s="8" t="inlineStr">
        <is>
          <t>Dashboard (aggregation)</t>
        </is>
      </c>
      <c r="C18" s="9" t="inlineStr">
        <is>
          <t>SELECT
    CASE wds.RealTimeProtectionEnabled0
        WHEN 1 THEN 'Enabled'
        WHEN 0 THEN 'Disabled'
        ELSE 'Unknown'
    END AS [Real-Time Protection],
    COUNT(*) AS [Device Count]
FROM v_R_System_Valid sys
LEFT JOIN v_GS_WINDOWS_DEFENDER_STATUS wds
    ON sys.ResourceID = wds.ResourceID
GROUP BY wds.RealTimeProtectionEnabled0
ORDER BY [Device Count] DESC</t>
        </is>
      </c>
    </row>
    <row r="19" ht="174" customHeight="1">
      <c r="A19" s="8" t="inlineStr">
        <is>
          <t>TPM Status Summary</t>
        </is>
      </c>
      <c r="B19" s="8" t="inlineStr">
        <is>
          <t>Dashboard (aggregation)</t>
        </is>
      </c>
      <c r="C19" s="9" t="inlineStr">
        <is>
          <t>SELECT
    CASE tpm.IsActivated_InitialValue0
        WHEN 1 THEN 'Activated'
        WHEN 0 THEN 'Not Activated'
        ELSE 'Unknown'
    END AS [TPM Status],
    COUNT(*) AS [Device Count]
FROM v_R_System_Valid sys
LEFT JOIN v_GS_TPM tpm
    ON sys.ResourceID = tpm.ResourceID
GROUP BY tpm.IsActivated_InitialValue0
ORDER BY [Device Count] DESC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F3864"/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 ht="35" customHeight="1">
      <c r="A1" s="1" t="inlineStr">
        <is>
          <t>Data Source Connection Setup</t>
        </is>
      </c>
    </row>
    <row r="2" ht="22" customHeight="1">
      <c r="A2" s="2" t="inlineStr">
        <is>
          <t>Configure the SQL Server connection to your MECM database</t>
        </is>
      </c>
    </row>
    <row r="4">
      <c r="A4" s="3" t="inlineStr">
        <is>
          <t>Connection Parameters</t>
        </is>
      </c>
    </row>
    <row r="5">
      <c r="A5" s="10" t="inlineStr">
        <is>
          <t>Server Name</t>
        </is>
      </c>
      <c r="B5" s="11" t="inlineStr">
        <is>
          <t>MECMServer</t>
        </is>
      </c>
    </row>
    <row r="6">
      <c r="A6" s="10" t="inlineStr">
        <is>
          <t>Database Name</t>
        </is>
      </c>
      <c r="B6" s="11" t="inlineStr">
        <is>
          <t>CM_PS1</t>
        </is>
      </c>
    </row>
    <row r="7">
      <c r="A7" s="10" t="inlineStr">
        <is>
          <t>Authentication</t>
        </is>
      </c>
      <c r="B7" s="11" t="inlineStr">
        <is>
          <t>Windows Authentication (Integrated Security)</t>
        </is>
      </c>
    </row>
    <row r="8">
      <c r="A8" s="10" t="inlineStr">
        <is>
          <t>Provider</t>
        </is>
      </c>
      <c r="B8" s="11" t="inlineStr">
        <is>
          <t>SQLOLEDB.1</t>
        </is>
      </c>
    </row>
    <row r="9">
      <c r="A9" s="10" t="inlineStr">
        <is>
          <t>Connection String</t>
        </is>
      </c>
      <c r="B9" s="11" t="inlineStr">
        <is>
          <t>Provider=SQLOLEDB.1;Data Source=MECMServer;Initial Catalog=CM_PS1;Integrated Security=SSPI;</t>
        </is>
      </c>
    </row>
    <row r="11">
      <c r="A11" s="3" t="inlineStr">
        <is>
          <t>How to Refresh Data</t>
        </is>
      </c>
    </row>
    <row r="12">
      <c r="A12" s="8" t="inlineStr">
        <is>
          <t>1. Open this workbook in Excel (desktop version).</t>
        </is>
      </c>
    </row>
    <row r="13">
      <c r="A13" s="8" t="inlineStr">
        <is>
          <t>2. Go to Data &gt; Connections to see the embedded data connections.</t>
        </is>
      </c>
    </row>
    <row r="14">
      <c r="A14" s="8" t="inlineStr">
        <is>
          <t>3. Update the server name from 'MECMServer' to your actual MECM SQL server.</t>
        </is>
      </c>
    </row>
    <row r="15">
      <c r="A15" s="8" t="inlineStr">
        <is>
          <t>4. Update the database name from 'CM_PS1' to your site code (e.g., CM_ABC).</t>
        </is>
      </c>
    </row>
    <row r="16">
      <c r="A16" s="8" t="inlineStr">
        <is>
          <t>5. Click Data &gt; Refresh All to execute all queries against your database.</t>
        </is>
      </c>
    </row>
    <row r="17">
      <c r="A17" s="8" t="inlineStr">
        <is>
          <t>6. Charts will automatically update with live data from your MECM environment.</t>
        </is>
      </c>
    </row>
    <row r="18">
      <c r="A18" s="8" t="inlineStr"/>
    </row>
    <row r="19">
      <c r="A19" s="8" t="inlineStr">
        <is>
          <t>Note: You must have read access to the MECM site database.</t>
        </is>
      </c>
    </row>
    <row r="20">
      <c r="A20" s="8" t="inlineStr">
        <is>
          <t>The connection uses Windows Authentication (your logged-in credentials).</t>
        </is>
      </c>
    </row>
    <row r="21">
      <c r="A21" s="8" t="inlineStr">
        <is>
          <t>If using a named instance, set server to: ServerName\InstanceName</t>
        </is>
      </c>
    </row>
    <row r="22">
      <c r="A22" s="8" t="inlineStr"/>
    </row>
    <row r="23">
      <c r="A23" s="8" t="inlineStr">
        <is>
          <t>Alternative: Use Power Query (Get &amp; Transform Data) for more control.</t>
        </is>
      </c>
    </row>
    <row r="24">
      <c r="A24" s="8" t="inlineStr">
        <is>
          <t>Copy the SQL from the 'SQL Queries' sheet into Power Query's native query editor.</t>
        </is>
      </c>
    </row>
  </sheetData>
  <mergeCells count="15">
    <mergeCell ref="A1:J1"/>
    <mergeCell ref="A20:B20"/>
    <mergeCell ref="A16:B16"/>
    <mergeCell ref="A21:B21"/>
    <mergeCell ref="A15:B15"/>
    <mergeCell ref="A24:B24"/>
    <mergeCell ref="A19:B19"/>
    <mergeCell ref="A23:B23"/>
    <mergeCell ref="A13:B13"/>
    <mergeCell ref="A14:B14"/>
    <mergeCell ref="A17:B17"/>
    <mergeCell ref="A2:J2"/>
    <mergeCell ref="A18:B18"/>
    <mergeCell ref="A22:B22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2026-02-09T20:22:01Z</dcterms:created>
  <dcterms:modified xsi:type="dcterms:W3CDTF">2026-02-09T20:22:01Z</dcterms:modified>
</cp:coreProperties>
</file>